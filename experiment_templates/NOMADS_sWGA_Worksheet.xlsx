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git\nomadic\experiment_templates\"/>
    </mc:Choice>
  </mc:AlternateContent>
  <xr:revisionPtr revIDLastSave="0" documentId="13_ncr:1_{C3325E91-C96D-4B06-9594-5F398185DA5E}" xr6:coauthVersionLast="47" xr6:coauthVersionMax="47" xr10:uidLastSave="{00000000-0000-0000-0000-000000000000}"/>
  <bookViews>
    <workbookView xWindow="-108" yWindow="-108" windowWidth="27288" windowHeight="17532" activeTab="2" xr2:uid="{202E2ACC-7D07-5944-B6D6-A1D8A2363375}"/>
  </bookViews>
  <sheets>
    <sheet name="Assay" sheetId="6" r:id="rId1"/>
    <sheet name="sWGA" sheetId="1" r:id="rId2"/>
    <sheet name="Reference" sheetId="7" r:id="rId3"/>
    <sheet name="expt_metadata" sheetId="10" state="hidden" r:id="rId4"/>
    <sheet name="rxn_metadata" sheetId="11" state="hidden" r:id="rId5"/>
  </sheets>
  <definedNames>
    <definedName name="exp_date">Assay!$C$2</definedName>
    <definedName name="exp_id">Assay!$C$7</definedName>
    <definedName name="exp_notes">Assay!$C$13</definedName>
    <definedName name="exp_rxns">Assay!$C$10</definedName>
    <definedName name="exp_summary">Assay!$C$6</definedName>
    <definedName name="exp_type">Reference!$B$21</definedName>
    <definedName name="exp_version">Reference!$B$22</definedName>
    <definedName name="export_folder">Reference!$A$25</definedName>
    <definedName name="expt_summary">Assay!$C$6</definedName>
    <definedName name="expt_type">Reference!$B$21</definedName>
    <definedName name="swga_enzyme">Assay!$C$11</definedName>
    <definedName name="swga_notes">Assay!$C$13</definedName>
    <definedName name="swga_rxnvol">Assay!$C$12</definedName>
    <definedName name="swga_targetmass">Reference!$B$17</definedName>
    <definedName name="swga_template_maxvol">Reference!$B$18</definedName>
    <definedName name="user_initials">Assay!$C$4</definedName>
    <definedName name="user_name">Assay!$C$3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6" l="1"/>
  <c r="C10" i="6" l="1"/>
  <c r="C4" i="6" a="1"/>
  <c r="C4" i="6" s="1"/>
  <c r="C7" i="6" s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B34" i="6" l="1"/>
  <c r="B35" i="6"/>
  <c r="B36" i="6"/>
  <c r="B37" i="6"/>
  <c r="B38" i="6"/>
  <c r="B39" i="6"/>
  <c r="B40" i="6"/>
  <c r="B41" i="6"/>
  <c r="C34" i="6"/>
  <c r="C35" i="6"/>
  <c r="C36" i="6"/>
  <c r="C37" i="6"/>
  <c r="C38" i="6"/>
  <c r="C39" i="6"/>
  <c r="C40" i="6"/>
  <c r="C41" i="6"/>
  <c r="D34" i="6"/>
  <c r="D35" i="6"/>
  <c r="D36" i="6"/>
  <c r="D37" i="6"/>
  <c r="D38" i="6"/>
  <c r="D39" i="6"/>
  <c r="D40" i="6"/>
  <c r="D41" i="6"/>
  <c r="E34" i="6"/>
  <c r="E35" i="6"/>
  <c r="E36" i="6"/>
  <c r="E37" i="6"/>
  <c r="E38" i="6"/>
  <c r="E39" i="6"/>
  <c r="E40" i="6"/>
  <c r="E41" i="6"/>
  <c r="F34" i="6"/>
  <c r="F35" i="6"/>
  <c r="F36" i="6"/>
  <c r="F37" i="6"/>
  <c r="F38" i="6"/>
  <c r="F39" i="6"/>
  <c r="F40" i="6"/>
  <c r="F41" i="6"/>
  <c r="G34" i="6"/>
  <c r="G35" i="6"/>
  <c r="G36" i="6"/>
  <c r="G37" i="6"/>
  <c r="G38" i="6"/>
  <c r="G39" i="6"/>
  <c r="G40" i="6"/>
  <c r="G41" i="6"/>
  <c r="H34" i="6"/>
  <c r="H35" i="6"/>
  <c r="H36" i="6"/>
  <c r="H37" i="6"/>
  <c r="H38" i="6"/>
  <c r="H39" i="6"/>
  <c r="H40" i="6"/>
  <c r="H41" i="6"/>
  <c r="I34" i="6"/>
  <c r="I35" i="6"/>
  <c r="I36" i="6"/>
  <c r="I37" i="6"/>
  <c r="I38" i="6"/>
  <c r="I39" i="6"/>
  <c r="I40" i="6"/>
  <c r="I41" i="6"/>
  <c r="J34" i="6"/>
  <c r="J35" i="6"/>
  <c r="J36" i="6"/>
  <c r="J37" i="6"/>
  <c r="J38" i="6"/>
  <c r="J39" i="6"/>
  <c r="J40" i="6"/>
  <c r="J41" i="6"/>
  <c r="K34" i="6"/>
  <c r="K35" i="6"/>
  <c r="K36" i="6"/>
  <c r="K37" i="6"/>
  <c r="K38" i="6"/>
  <c r="K39" i="6"/>
  <c r="K40" i="6"/>
  <c r="K41" i="6"/>
  <c r="L34" i="6"/>
  <c r="L35" i="6"/>
  <c r="L36" i="6"/>
  <c r="L37" i="6"/>
  <c r="L38" i="6"/>
  <c r="L39" i="6"/>
  <c r="L40" i="6"/>
  <c r="L41" i="6"/>
  <c r="M34" i="6"/>
  <c r="M35" i="6"/>
  <c r="M36" i="6"/>
  <c r="M37" i="6"/>
  <c r="M38" i="6"/>
  <c r="M39" i="6"/>
  <c r="M40" i="6"/>
  <c r="M41" i="6"/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K12" i="1"/>
  <c r="K13" i="1"/>
  <c r="K14" i="1"/>
  <c r="K15" i="1"/>
  <c r="K16" i="1"/>
  <c r="K17" i="1"/>
  <c r="K18" i="1"/>
  <c r="K19" i="1"/>
  <c r="F27" i="7" l="1"/>
  <c r="L20" i="6" s="1"/>
  <c r="F28" i="7"/>
  <c r="L21" i="6" s="1"/>
  <c r="F29" i="7"/>
  <c r="L22" i="6" s="1"/>
  <c r="F30" i="7"/>
  <c r="L23" i="6" s="1"/>
  <c r="F31" i="7"/>
  <c r="L24" i="6" s="1"/>
  <c r="F32" i="7"/>
  <c r="L25" i="6" s="1"/>
  <c r="F33" i="7"/>
  <c r="L26" i="6" s="1"/>
  <c r="F26" i="7"/>
  <c r="L19" i="6" s="1"/>
  <c r="E26" i="7"/>
  <c r="J19" i="6" s="1"/>
  <c r="E27" i="7"/>
  <c r="J20" i="6" s="1"/>
  <c r="E28" i="7"/>
  <c r="J21" i="6" s="1"/>
  <c r="E29" i="7"/>
  <c r="J22" i="6" s="1"/>
  <c r="E30" i="7"/>
  <c r="J23" i="6" s="1"/>
  <c r="E31" i="7"/>
  <c r="J24" i="6" s="1"/>
  <c r="E32" i="7"/>
  <c r="J25" i="6" s="1"/>
  <c r="E33" i="7"/>
  <c r="J26" i="6" s="1"/>
  <c r="A23" i="6"/>
  <c r="A29" i="6"/>
  <c r="A30" i="6"/>
  <c r="K30" i="6"/>
  <c r="K29" i="6"/>
  <c r="D20" i="6"/>
  <c r="B18" i="7" l="1"/>
  <c r="D22" i="6"/>
  <c r="D21" i="6"/>
  <c r="C12" i="6"/>
  <c r="A21" i="6"/>
  <c r="A20" i="6"/>
  <c r="C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I2" i="10" l="1"/>
  <c r="K9" i="1" l="1"/>
  <c r="E2" i="10"/>
  <c r="D2" i="10"/>
  <c r="K2" i="10"/>
  <c r="J2" i="10"/>
  <c r="G2" i="10"/>
  <c r="F2" i="10"/>
  <c r="C2" i="10" l="1"/>
  <c r="B2" i="10"/>
  <c r="A27" i="6"/>
  <c r="D19" i="6"/>
  <c r="F18" i="6"/>
  <c r="H2" i="10" l="1"/>
  <c r="C9" i="6"/>
  <c r="D24" i="6"/>
  <c r="G25" i="6" s="1"/>
  <c r="A2" i="10"/>
  <c r="A97" i="11"/>
  <c r="D97" i="11"/>
  <c r="A28" i="11"/>
  <c r="D28" i="11"/>
  <c r="A29" i="11"/>
  <c r="D29" i="11"/>
  <c r="A30" i="11"/>
  <c r="D30" i="11"/>
  <c r="A31" i="11"/>
  <c r="D31" i="11"/>
  <c r="A32" i="11"/>
  <c r="D32" i="11"/>
  <c r="A33" i="11"/>
  <c r="D33" i="11"/>
  <c r="A34" i="11"/>
  <c r="D34" i="11"/>
  <c r="A35" i="11"/>
  <c r="D35" i="11"/>
  <c r="A36" i="11"/>
  <c r="D36" i="11"/>
  <c r="A37" i="11"/>
  <c r="D37" i="11"/>
  <c r="A38" i="11"/>
  <c r="D38" i="11"/>
  <c r="A39" i="11"/>
  <c r="D39" i="11"/>
  <c r="A40" i="11"/>
  <c r="D40" i="11"/>
  <c r="A41" i="11"/>
  <c r="D41" i="11"/>
  <c r="A42" i="11"/>
  <c r="D42" i="11"/>
  <c r="A43" i="11"/>
  <c r="D43" i="11"/>
  <c r="A44" i="11"/>
  <c r="D44" i="11"/>
  <c r="A45" i="11"/>
  <c r="D45" i="11"/>
  <c r="A46" i="11"/>
  <c r="D46" i="11"/>
  <c r="A47" i="11"/>
  <c r="D47" i="11"/>
  <c r="A48" i="11"/>
  <c r="D48" i="11"/>
  <c r="A49" i="11"/>
  <c r="D49" i="11"/>
  <c r="A50" i="11"/>
  <c r="D50" i="11"/>
  <c r="A51" i="11"/>
  <c r="D51" i="11"/>
  <c r="A52" i="11"/>
  <c r="D52" i="11"/>
  <c r="A53" i="11"/>
  <c r="D53" i="11"/>
  <c r="A54" i="11"/>
  <c r="D54" i="11"/>
  <c r="A55" i="11"/>
  <c r="D55" i="11"/>
  <c r="A56" i="11"/>
  <c r="D56" i="11"/>
  <c r="A57" i="11"/>
  <c r="D57" i="11"/>
  <c r="A58" i="11"/>
  <c r="D58" i="11"/>
  <c r="A59" i="11"/>
  <c r="D59" i="11"/>
  <c r="A60" i="11"/>
  <c r="D60" i="11"/>
  <c r="A61" i="11"/>
  <c r="D61" i="11"/>
  <c r="A62" i="11"/>
  <c r="D62" i="11"/>
  <c r="A63" i="11"/>
  <c r="D63" i="11"/>
  <c r="A64" i="11"/>
  <c r="D64" i="11"/>
  <c r="A65" i="11"/>
  <c r="D65" i="11"/>
  <c r="A66" i="11"/>
  <c r="D66" i="11"/>
  <c r="A67" i="11"/>
  <c r="D67" i="11"/>
  <c r="A68" i="11"/>
  <c r="D68" i="11"/>
  <c r="A69" i="11"/>
  <c r="D69" i="11"/>
  <c r="A70" i="11"/>
  <c r="D70" i="11"/>
  <c r="A71" i="11"/>
  <c r="D71" i="11"/>
  <c r="A72" i="11"/>
  <c r="D72" i="11"/>
  <c r="A73" i="11"/>
  <c r="D73" i="11"/>
  <c r="A74" i="11"/>
  <c r="D74" i="11"/>
  <c r="A75" i="11"/>
  <c r="D75" i="11"/>
  <c r="A76" i="11"/>
  <c r="D76" i="11"/>
  <c r="A77" i="11"/>
  <c r="D77" i="11"/>
  <c r="A78" i="11"/>
  <c r="D78" i="11"/>
  <c r="A79" i="11"/>
  <c r="D79" i="11"/>
  <c r="A80" i="11"/>
  <c r="D80" i="11"/>
  <c r="A81" i="11"/>
  <c r="D81" i="11"/>
  <c r="A82" i="11"/>
  <c r="D82" i="11"/>
  <c r="A83" i="11"/>
  <c r="D83" i="11"/>
  <c r="A84" i="11"/>
  <c r="D84" i="11"/>
  <c r="A85" i="11"/>
  <c r="D85" i="11"/>
  <c r="A86" i="11"/>
  <c r="D86" i="11"/>
  <c r="A87" i="11"/>
  <c r="D87" i="11"/>
  <c r="A88" i="11"/>
  <c r="D88" i="11"/>
  <c r="A89" i="11"/>
  <c r="D89" i="11"/>
  <c r="A90" i="11"/>
  <c r="D90" i="11"/>
  <c r="A91" i="11"/>
  <c r="D91" i="11"/>
  <c r="A92" i="11"/>
  <c r="D92" i="11"/>
  <c r="A93" i="11"/>
  <c r="D93" i="11"/>
  <c r="A94" i="11"/>
  <c r="D94" i="11"/>
  <c r="A95" i="11"/>
  <c r="D95" i="11"/>
  <c r="A96" i="11"/>
  <c r="D96" i="11"/>
  <c r="A3" i="11"/>
  <c r="D3" i="11"/>
  <c r="A4" i="11"/>
  <c r="D4" i="11"/>
  <c r="A5" i="11"/>
  <c r="D5" i="11"/>
  <c r="A6" i="11"/>
  <c r="D6" i="11"/>
  <c r="A7" i="11"/>
  <c r="D7" i="11"/>
  <c r="A8" i="11"/>
  <c r="D8" i="11"/>
  <c r="A9" i="11"/>
  <c r="D9" i="11"/>
  <c r="A10" i="11"/>
  <c r="D10" i="11"/>
  <c r="A11" i="11"/>
  <c r="D11" i="11"/>
  <c r="A12" i="11"/>
  <c r="D12" i="11"/>
  <c r="A13" i="11"/>
  <c r="D13" i="11"/>
  <c r="A14" i="11"/>
  <c r="D14" i="11"/>
  <c r="A15" i="11"/>
  <c r="D15" i="11"/>
  <c r="A16" i="11"/>
  <c r="D16" i="11"/>
  <c r="A17" i="11"/>
  <c r="D17" i="11"/>
  <c r="A18" i="11"/>
  <c r="D18" i="11"/>
  <c r="A19" i="11"/>
  <c r="D19" i="11"/>
  <c r="A20" i="11"/>
  <c r="D20" i="11"/>
  <c r="A21" i="11"/>
  <c r="D21" i="11"/>
  <c r="A22" i="11"/>
  <c r="D22" i="11"/>
  <c r="A23" i="11"/>
  <c r="D23" i="11"/>
  <c r="A24" i="11"/>
  <c r="D24" i="11"/>
  <c r="A25" i="11"/>
  <c r="D25" i="11"/>
  <c r="A26" i="11"/>
  <c r="D26" i="11"/>
  <c r="A27" i="11"/>
  <c r="D27" i="11"/>
  <c r="A2" i="11"/>
  <c r="D2" i="11"/>
  <c r="A17" i="6" l="1"/>
  <c r="K4" i="1"/>
  <c r="K5" i="1"/>
  <c r="K6" i="1"/>
  <c r="K7" i="1"/>
  <c r="K8" i="1"/>
  <c r="E7" i="11"/>
  <c r="K10" i="1"/>
  <c r="K11" i="1"/>
  <c r="E10" i="11"/>
  <c r="E11" i="11"/>
  <c r="E12" i="11"/>
  <c r="E13" i="11"/>
  <c r="E14" i="11"/>
  <c r="E15" i="11"/>
  <c r="E16" i="11"/>
  <c r="E17" i="1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F19" i="6"/>
  <c r="F23" i="6"/>
  <c r="F24" i="6"/>
  <c r="F21" i="6"/>
  <c r="F20" i="6"/>
  <c r="F22" i="6"/>
  <c r="E96" i="11" l="1"/>
  <c r="E92" i="11"/>
  <c r="E84" i="11"/>
  <c r="E76" i="11"/>
  <c r="E68" i="11"/>
  <c r="E60" i="11"/>
  <c r="E52" i="11"/>
  <c r="E44" i="11"/>
  <c r="E36" i="11"/>
  <c r="E24" i="11"/>
  <c r="E8" i="11"/>
  <c r="E95" i="11"/>
  <c r="E87" i="11"/>
  <c r="E79" i="11"/>
  <c r="E71" i="11"/>
  <c r="E63" i="11"/>
  <c r="E55" i="11"/>
  <c r="E43" i="11"/>
  <c r="E35" i="11"/>
  <c r="E27" i="11"/>
  <c r="E19" i="11"/>
  <c r="E3" i="11"/>
  <c r="E90" i="11"/>
  <c r="E82" i="11"/>
  <c r="E78" i="11"/>
  <c r="E74" i="11"/>
  <c r="E70" i="11"/>
  <c r="E58" i="11"/>
  <c r="E54" i="11"/>
  <c r="E50" i="11"/>
  <c r="E46" i="11"/>
  <c r="E42" i="11"/>
  <c r="E38" i="11"/>
  <c r="E34" i="11"/>
  <c r="E30" i="11"/>
  <c r="E26" i="11"/>
  <c r="E22" i="11"/>
  <c r="E18" i="11"/>
  <c r="E6" i="11"/>
  <c r="E2" i="11"/>
  <c r="E88" i="11"/>
  <c r="E80" i="11"/>
  <c r="E72" i="11"/>
  <c r="E64" i="11"/>
  <c r="E56" i="11"/>
  <c r="E48" i="11"/>
  <c r="E40" i="11"/>
  <c r="E32" i="11"/>
  <c r="E28" i="11"/>
  <c r="E20" i="11"/>
  <c r="E4" i="11"/>
  <c r="E91" i="11"/>
  <c r="E83" i="11"/>
  <c r="E75" i="11"/>
  <c r="E67" i="11"/>
  <c r="E59" i="11"/>
  <c r="E51" i="11"/>
  <c r="E47" i="11"/>
  <c r="E39" i="11"/>
  <c r="E31" i="11"/>
  <c r="E23" i="11"/>
  <c r="E94" i="11"/>
  <c r="E86" i="11"/>
  <c r="E66" i="11"/>
  <c r="E62" i="11"/>
  <c r="E97" i="11"/>
  <c r="E93" i="11"/>
  <c r="E89" i="11"/>
  <c r="E85" i="11"/>
  <c r="E81" i="11"/>
  <c r="E77" i="11"/>
  <c r="E73" i="11"/>
  <c r="E69" i="11"/>
  <c r="E65" i="11"/>
  <c r="E61" i="11"/>
  <c r="E57" i="11"/>
  <c r="E53" i="11"/>
  <c r="E49" i="11"/>
  <c r="E45" i="11"/>
  <c r="E41" i="11"/>
  <c r="E37" i="11"/>
  <c r="E33" i="11"/>
  <c r="E29" i="11"/>
  <c r="E25" i="11"/>
  <c r="E21" i="11"/>
  <c r="E9" i="11"/>
  <c r="E5" i="11"/>
  <c r="B10" i="11"/>
  <c r="B11" i="11"/>
  <c r="B7" i="11"/>
  <c r="B2" i="11"/>
  <c r="B9" i="11"/>
  <c r="B5" i="11"/>
  <c r="B8" i="11"/>
  <c r="B4" i="11"/>
  <c r="B3" i="11"/>
  <c r="B6" i="11"/>
  <c r="B89" i="11"/>
  <c r="B25" i="11"/>
  <c r="B48" i="11"/>
  <c r="B71" i="11"/>
  <c r="B94" i="11"/>
  <c r="B30" i="11"/>
  <c r="B21" i="11"/>
  <c r="B49" i="11"/>
  <c r="B72" i="11"/>
  <c r="B95" i="11"/>
  <c r="B31" i="11"/>
  <c r="B54" i="11"/>
  <c r="B77" i="11"/>
  <c r="B13" i="11"/>
  <c r="B36" i="11"/>
  <c r="B59" i="11"/>
  <c r="B82" i="11"/>
  <c r="B18" i="11"/>
  <c r="B41" i="11"/>
  <c r="B96" i="11"/>
  <c r="B64" i="11"/>
  <c r="B32" i="11"/>
  <c r="B87" i="11"/>
  <c r="B55" i="11"/>
  <c r="B23" i="11"/>
  <c r="B78" i="11"/>
  <c r="B46" i="11"/>
  <c r="B14" i="11"/>
  <c r="B69" i="11"/>
  <c r="B37" i="11"/>
  <c r="B92" i="11"/>
  <c r="B60" i="11"/>
  <c r="B28" i="11"/>
  <c r="B83" i="11"/>
  <c r="B51" i="11"/>
  <c r="B19" i="11"/>
  <c r="B74" i="11"/>
  <c r="B42" i="11"/>
  <c r="B57" i="11"/>
  <c r="B80" i="11"/>
  <c r="B16" i="11"/>
  <c r="B39" i="11"/>
  <c r="B62" i="11"/>
  <c r="B85" i="11"/>
  <c r="B53" i="11"/>
  <c r="B76" i="11"/>
  <c r="B44" i="11"/>
  <c r="B12" i="11"/>
  <c r="B67" i="11"/>
  <c r="B35" i="11"/>
  <c r="B90" i="11"/>
  <c r="B58" i="11"/>
  <c r="B26" i="11"/>
  <c r="B81" i="11"/>
  <c r="B17" i="11"/>
  <c r="B40" i="11"/>
  <c r="B63" i="11"/>
  <c r="B86" i="11"/>
  <c r="B22" i="11"/>
  <c r="B45" i="11"/>
  <c r="B68" i="11"/>
  <c r="B91" i="11"/>
  <c r="B27" i="11"/>
  <c r="B50" i="11"/>
  <c r="B73" i="11"/>
  <c r="B97" i="11"/>
  <c r="B65" i="11"/>
  <c r="B33" i="11"/>
  <c r="B88" i="11"/>
  <c r="B56" i="11"/>
  <c r="B24" i="11"/>
  <c r="B79" i="11"/>
  <c r="B47" i="11"/>
  <c r="B15" i="11"/>
  <c r="B70" i="11"/>
  <c r="B38" i="11"/>
  <c r="B93" i="11"/>
  <c r="B61" i="11"/>
  <c r="B29" i="11"/>
  <c r="B84" i="11"/>
  <c r="B52" i="11"/>
  <c r="B20" i="11"/>
  <c r="B75" i="11"/>
  <c r="B43" i="11"/>
  <c r="B66" i="11"/>
  <c r="B34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<sst xmlns="http://schemas.openxmlformats.org/spreadsheetml/2006/main" count="228" uniqueCount="211">
  <si>
    <t>ng</t>
  </si>
  <si>
    <t>Assumptions</t>
  </si>
  <si>
    <t>10mM dNTP</t>
  </si>
  <si>
    <t>Required fields</t>
  </si>
  <si>
    <t>Calculated fields</t>
  </si>
  <si>
    <t>Sample ID</t>
  </si>
  <si>
    <t>Item</t>
  </si>
  <si>
    <t>Per tube (µl)</t>
  </si>
  <si>
    <r>
      <t>Temperature (</t>
    </r>
    <r>
      <rPr>
        <vertAlign val="superscript"/>
        <sz val="12"/>
        <color theme="1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>C)</t>
    </r>
  </si>
  <si>
    <t>Time (min)</t>
  </si>
  <si>
    <t>∞</t>
  </si>
  <si>
    <r>
      <t>Nuclease-Free 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0</t>
    </r>
  </si>
  <si>
    <t>16 hr</t>
  </si>
  <si>
    <t>10 min</t>
  </si>
  <si>
    <t>5 min</t>
  </si>
  <si>
    <t>15 min</t>
  </si>
  <si>
    <t>20 min</t>
  </si>
  <si>
    <t>30 min</t>
  </si>
  <si>
    <t>Sample Information</t>
  </si>
  <si>
    <t>Extraction ID</t>
  </si>
  <si>
    <t>Description</t>
  </si>
  <si>
    <t xml:space="preserve">DNA template mass </t>
  </si>
  <si>
    <t>Overage</t>
  </si>
  <si>
    <t>Look-ups</t>
  </si>
  <si>
    <t>A</t>
  </si>
  <si>
    <t>B</t>
  </si>
  <si>
    <t>C</t>
  </si>
  <si>
    <t>D</t>
  </si>
  <si>
    <t>E</t>
  </si>
  <si>
    <t>F</t>
  </si>
  <si>
    <t>G</t>
  </si>
  <si>
    <t>H</t>
  </si>
  <si>
    <t>sWGA</t>
  </si>
  <si>
    <t>#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</si>
  <si>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</si>
  <si>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</si>
  <si>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</si>
  <si>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</si>
  <si>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</si>
  <si>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</si>
  <si>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</si>
  <si>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</si>
  <si>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</si>
  <si>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</si>
  <si>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</si>
  <si>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</si>
  <si>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</si>
  <si>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</si>
  <si>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</si>
  <si>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</si>
  <si>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</si>
  <si>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</si>
  <si>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</si>
  <si>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</si>
  <si>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</si>
  <si>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</si>
  <si>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</si>
  <si>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D1</t>
  </si>
  <si>
    <t>D2</t>
  </si>
  <si>
    <t>E1</t>
  </si>
  <si>
    <t>F1</t>
  </si>
  <si>
    <t>G1</t>
  </si>
  <si>
    <t>H1</t>
  </si>
  <si>
    <t>E2</t>
  </si>
  <si>
    <t>F2</t>
  </si>
  <si>
    <t>G2</t>
  </si>
  <si>
    <t>H2</t>
  </si>
  <si>
    <t>C3</t>
  </si>
  <si>
    <t>D3</t>
  </si>
  <si>
    <t>E3</t>
  </si>
  <si>
    <t>F3</t>
  </si>
  <si>
    <t>G3</t>
  </si>
  <si>
    <t>H3</t>
  </si>
  <si>
    <t>C4</t>
  </si>
  <si>
    <t>D4</t>
  </si>
  <si>
    <t>E4</t>
  </si>
  <si>
    <t>F4</t>
  </si>
  <si>
    <t>G4</t>
  </si>
  <si>
    <t>H4</t>
  </si>
  <si>
    <t>C5</t>
  </si>
  <si>
    <t>D5</t>
  </si>
  <si>
    <t>E5</t>
  </si>
  <si>
    <t>F5</t>
  </si>
  <si>
    <t>G5</t>
  </si>
  <si>
    <t>H5</t>
  </si>
  <si>
    <t>C6</t>
  </si>
  <si>
    <t>D6</t>
  </si>
  <si>
    <t>E6</t>
  </si>
  <si>
    <t>F6</t>
  </si>
  <si>
    <t>G6</t>
  </si>
  <si>
    <t>H6</t>
  </si>
  <si>
    <t>C7</t>
  </si>
  <si>
    <t>D7</t>
  </si>
  <si>
    <t>E7</t>
  </si>
  <si>
    <t>F7</t>
  </si>
  <si>
    <t>G7</t>
  </si>
  <si>
    <t>H7</t>
  </si>
  <si>
    <t>C8</t>
  </si>
  <si>
    <t>D8</t>
  </si>
  <si>
    <t>E8</t>
  </si>
  <si>
    <t>F8</t>
  </si>
  <si>
    <t>G8</t>
  </si>
  <si>
    <t>H8</t>
  </si>
  <si>
    <t>C9</t>
  </si>
  <si>
    <t>D9</t>
  </si>
  <si>
    <t>E9</t>
  </si>
  <si>
    <t>F9</t>
  </si>
  <si>
    <t>G9</t>
  </si>
  <si>
    <t>H9</t>
  </si>
  <si>
    <t>B10</t>
  </si>
  <si>
    <t>C10</t>
  </si>
  <si>
    <t>D10</t>
  </si>
  <si>
    <t>E10</t>
  </si>
  <si>
    <t>F10</t>
  </si>
  <si>
    <t>G10</t>
  </si>
  <si>
    <t>H10</t>
  </si>
  <si>
    <t>B11</t>
  </si>
  <si>
    <t>C11</t>
  </si>
  <si>
    <t>D11</t>
  </si>
  <si>
    <t>E11</t>
  </si>
  <si>
    <t>F11</t>
  </si>
  <si>
    <t>G11</t>
  </si>
  <si>
    <t>H11</t>
  </si>
  <si>
    <t>B12</t>
  </si>
  <si>
    <t>C12</t>
  </si>
  <si>
    <t>D12</t>
  </si>
  <si>
    <t>E12</t>
  </si>
  <si>
    <t>F12</t>
  </si>
  <si>
    <t>G12</t>
  </si>
  <si>
    <t>H12</t>
  </si>
  <si>
    <t>Well</t>
  </si>
  <si>
    <t>sWGA Dilution Factor</t>
  </si>
  <si>
    <t>Date:</t>
  </si>
  <si>
    <t>Exp Name:</t>
  </si>
  <si>
    <t>Number of samples:</t>
  </si>
  <si>
    <t>KEY</t>
  </si>
  <si>
    <t>(YYYY-MM-DD)</t>
  </si>
  <si>
    <t>User:</t>
  </si>
  <si>
    <t>Exp ID:</t>
  </si>
  <si>
    <t>(three digit ID created by the user)</t>
  </si>
  <si>
    <t>(select from dropdown)</t>
  </si>
  <si>
    <t>Exp Number:</t>
  </si>
  <si>
    <t>(Enter in sWGA Tab)</t>
  </si>
  <si>
    <t>NOMADS sWGA Worksheet</t>
  </si>
  <si>
    <t>Reaction Volume:</t>
  </si>
  <si>
    <t>expt_date</t>
  </si>
  <si>
    <t>1 - SWGA</t>
  </si>
  <si>
    <t xml:space="preserve">  3. Run sWGA on thermocycler according to above right table</t>
  </si>
  <si>
    <t>sWGA template (ul)</t>
  </si>
  <si>
    <t>sWGA product [DNA] (ng / ul)</t>
  </si>
  <si>
    <t>sWGA qubit [DNA] (ng / ul)</t>
  </si>
  <si>
    <t>(SW = sWGA)</t>
  </si>
  <si>
    <t>swga_rxnvol_ul</t>
  </si>
  <si>
    <t>swga_targetmass_ng</t>
  </si>
  <si>
    <t>sample_id</t>
  </si>
  <si>
    <t>extraction_id</t>
  </si>
  <si>
    <t>swga_template_ul</t>
  </si>
  <si>
    <t>swga_product_ngul</t>
  </si>
  <si>
    <t>Experiment</t>
  </si>
  <si>
    <t>type</t>
  </si>
  <si>
    <t>version</t>
  </si>
  <si>
    <t>expt_id</t>
  </si>
  <si>
    <t>expt_user</t>
  </si>
  <si>
    <t>expt_rxns</t>
  </si>
  <si>
    <t>expt_type</t>
  </si>
  <si>
    <t>expt_version</t>
  </si>
  <si>
    <t>Notes:</t>
  </si>
  <si>
    <t>expt_notes</t>
  </si>
  <si>
    <t>Exp Summary:</t>
  </si>
  <si>
    <t>expt_summary</t>
  </si>
  <si>
    <t>Do NOT use any commas</t>
  </si>
  <si>
    <t>Filename:</t>
  </si>
  <si>
    <t>Changelog from previous version</t>
  </si>
  <si>
    <t>swga template max vol</t>
  </si>
  <si>
    <t>ul</t>
  </si>
  <si>
    <t>Instructions</t>
  </si>
  <si>
    <t>Process</t>
  </si>
  <si>
    <t>sWGA enzyme</t>
  </si>
  <si>
    <t>DNA Polymerase</t>
  </si>
  <si>
    <t>10x Buffer</t>
  </si>
  <si>
    <t>phi29</t>
  </si>
  <si>
    <t>equiphi29</t>
  </si>
  <si>
    <t>swga_enzyme</t>
  </si>
  <si>
    <t>Sample Type</t>
  </si>
  <si>
    <t>sample_type</t>
  </si>
  <si>
    <t>Field</t>
  </si>
  <si>
    <t>Positive</t>
  </si>
  <si>
    <t>Negative</t>
  </si>
  <si>
    <t>60 min</t>
  </si>
  <si>
    <t>Prepare</t>
  </si>
  <si>
    <t>equiphi29 cycle</t>
  </si>
  <si>
    <t>phi29 cycle</t>
  </si>
  <si>
    <t>Selected</t>
  </si>
  <si>
    <t>-</t>
  </si>
  <si>
    <t>ID for Plate Layout</t>
  </si>
  <si>
    <t>Select ID to reference in platemap:</t>
  </si>
  <si>
    <t>Column</t>
  </si>
  <si>
    <t>Platemap ID</t>
  </si>
  <si>
    <t>2. Save workbook with the correct filename to the shared Google Drive folder</t>
  </si>
  <si>
    <r>
      <t xml:space="preserve">Reference values </t>
    </r>
    <r>
      <rPr>
        <u/>
        <sz val="20"/>
        <color rgb="FF000000"/>
        <rFont val="Calibri"/>
        <family val="2"/>
      </rPr>
      <t>(change only if required)</t>
    </r>
  </si>
  <si>
    <r>
      <t xml:space="preserve">1. Enter all details into the </t>
    </r>
    <r>
      <rPr>
        <b/>
        <sz val="24"/>
        <color theme="1"/>
        <rFont val="Calibri"/>
        <family val="2"/>
        <scheme val="minor"/>
      </rPr>
      <t>'Assay'</t>
    </r>
    <r>
      <rPr>
        <sz val="24"/>
        <color theme="1"/>
        <rFont val="Calibri"/>
        <family val="2"/>
        <scheme val="minor"/>
      </rPr>
      <t xml:space="preserve"> (experiment level) and </t>
    </r>
    <r>
      <rPr>
        <b/>
        <sz val="24"/>
        <color theme="1"/>
        <rFont val="Calibri"/>
        <family val="2"/>
        <scheme val="minor"/>
      </rPr>
      <t>'sWGA'</t>
    </r>
    <r>
      <rPr>
        <sz val="24"/>
        <color theme="1"/>
        <rFont val="Calibri"/>
        <family val="2"/>
        <scheme val="minor"/>
      </rPr>
      <t xml:space="preserve"> (reaction level) tabs, ensuring all yellow highlighted cells are complete</t>
    </r>
  </si>
  <si>
    <t>This template is to be used to record sWGA amplification as part of a NOMADS sequencing run.</t>
  </si>
  <si>
    <t>To prevent inadvertent loss of data, cells are protected from editing, you can only select unlocked cells, use tab to navigate</t>
  </si>
  <si>
    <t>Copy these columns to the PCR template</t>
  </si>
  <si>
    <t>(enter human readable detail)</t>
  </si>
  <si>
    <t>(enter name)</t>
  </si>
  <si>
    <t>User Initials:</t>
  </si>
  <si>
    <t>(calculated from sWGA tab)</t>
  </si>
  <si>
    <t>Removed multiple details not being used</t>
  </si>
  <si>
    <t>Removed usernames and projects</t>
  </si>
  <si>
    <t>(first last)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</si>
</sst>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2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ndale Mono"/>
      <family val="2"/>
    </font>
    <font>
      <b/>
      <u/>
      <sz val="24"/>
      <color rgb="FF000000"/>
      <name val="Calibri"/>
      <family val="2"/>
    </font>
    <font>
      <sz val="24"/>
      <color theme="1"/>
      <name val="Calibri"/>
      <family val="2"/>
      <scheme val="minor"/>
    </font>
    <font>
      <sz val="24"/>
      <color rgb="FF000000"/>
      <name val="Calibri"/>
      <family val="2"/>
    </font>
    <font>
      <b/>
      <sz val="24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u/>
      <sz val="36"/>
      <color rgb="FF000000"/>
      <name val="Calibri"/>
      <family val="2"/>
    </font>
    <font>
      <u/>
      <sz val="20"/>
      <color rgb="FF000000"/>
      <name val="Calibri"/>
      <family val="2"/>
    </font>
    <font>
      <sz val="26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0" fontId="4" fillId="0" borderId="0"/>
    <xf numFmtId="0" fontId="3" fillId="0" borderId="0"/>
    <xf numFmtId="164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0" xfId="3"/>
    <xf numFmtId="0" fontId="10" fillId="0" borderId="0" xfId="3" applyFont="1"/>
    <xf numFmtId="0" fontId="2" fillId="0" borderId="0" xfId="3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14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165" fontId="0" fillId="3" borderId="1" xfId="0" applyNumberFormat="1" applyFill="1" applyBorder="1" applyAlignment="1">
      <alignment horizontal="center"/>
    </xf>
    <xf numFmtId="0" fontId="8" fillId="0" borderId="0" xfId="0" applyFont="1" applyAlignment="1">
      <alignment horizontal="right" wrapText="1"/>
    </xf>
    <xf numFmtId="0" fontId="7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4" fillId="0" borderId="0" xfId="0" applyFont="1"/>
    <xf numFmtId="0" fontId="0" fillId="0" borderId="0" xfId="0" applyAlignment="1">
      <alignment horizontal="left"/>
    </xf>
    <xf numFmtId="0" fontId="11" fillId="0" borderId="0" xfId="0" applyFont="1"/>
    <xf numFmtId="165" fontId="0" fillId="3" borderId="9" xfId="0" applyNumberFormat="1" applyFill="1" applyBorder="1" applyAlignment="1">
      <alignment horizontal="center"/>
    </xf>
    <xf numFmtId="0" fontId="0" fillId="0" borderId="0" xfId="0" applyAlignment="1">
      <alignment horizontal="left" wrapText="1"/>
    </xf>
    <xf numFmtId="0" fontId="7" fillId="7" borderId="2" xfId="0" applyFont="1" applyFill="1" applyBorder="1"/>
    <xf numFmtId="0" fontId="0" fillId="7" borderId="2" xfId="0" applyFill="1" applyBorder="1"/>
    <xf numFmtId="0" fontId="0" fillId="0" borderId="0" xfId="0" applyAlignment="1">
      <alignment horizontal="left" vertical="top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right"/>
    </xf>
    <xf numFmtId="0" fontId="0" fillId="0" borderId="0" xfId="0" applyAlignment="1">
      <alignment horizontal="right" wrapText="1"/>
    </xf>
    <xf numFmtId="0" fontId="0" fillId="0" borderId="7" xfId="0" applyBorder="1" applyAlignment="1" applyProtection="1">
      <alignment horizontal="center"/>
      <protection locked="0"/>
    </xf>
    <xf numFmtId="0" fontId="8" fillId="0" borderId="0" xfId="0" applyFont="1" applyAlignment="1">
      <alignment horizontal="right"/>
    </xf>
    <xf numFmtId="0" fontId="0" fillId="10" borderId="1" xfId="0" applyFill="1" applyBorder="1" applyAlignment="1">
      <alignment horizontal="center"/>
    </xf>
    <xf numFmtId="0" fontId="1" fillId="0" borderId="0" xfId="3" applyFont="1"/>
    <xf numFmtId="0" fontId="0" fillId="0" borderId="0" xfId="0" applyProtection="1">
      <protection locked="0"/>
    </xf>
    <xf numFmtId="0" fontId="0" fillId="0" borderId="0" xfId="3" applyFont="1" applyProtection="1"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15" fillId="4" borderId="7" xfId="0" applyFont="1" applyFill="1" applyBorder="1" applyAlignment="1" applyProtection="1">
      <alignment horizontal="center" wrapText="1"/>
      <protection locked="0"/>
    </xf>
    <xf numFmtId="0" fontId="15" fillId="4" borderId="1" xfId="0" applyFont="1" applyFill="1" applyBorder="1" applyAlignment="1" applyProtection="1">
      <alignment horizontal="center" wrapText="1"/>
      <protection locked="0"/>
    </xf>
    <xf numFmtId="0" fontId="15" fillId="5" borderId="7" xfId="0" applyFont="1" applyFill="1" applyBorder="1" applyAlignment="1" applyProtection="1">
      <alignment horizontal="center" wrapText="1"/>
      <protection locked="0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1" fillId="0" borderId="0" xfId="0" applyFont="1"/>
    <xf numFmtId="0" fontId="22" fillId="0" borderId="0" xfId="0" applyFont="1"/>
    <xf numFmtId="0" fontId="15" fillId="0" borderId="6" xfId="0" applyFont="1" applyBorder="1" applyAlignment="1" applyProtection="1">
      <alignment horizontal="center" wrapText="1"/>
      <protection locked="0"/>
    </xf>
    <xf numFmtId="9" fontId="8" fillId="0" borderId="0" xfId="6" applyFont="1" applyAlignment="1" applyProtection="1">
      <alignment horizontal="center" wrapText="1"/>
      <protection locked="0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8" borderId="0" xfId="0" applyFont="1" applyFill="1" applyAlignment="1">
      <alignment horizontal="right"/>
    </xf>
    <xf numFmtId="0" fontId="0" fillId="8" borderId="0" xfId="0" applyFill="1" applyAlignment="1">
      <alignment horizontal="right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16" fillId="0" borderId="14" xfId="0" applyFont="1" applyBorder="1" applyAlignment="1" applyProtection="1">
      <alignment horizontal="center"/>
      <protection locked="0"/>
    </xf>
    <xf numFmtId="165" fontId="0" fillId="3" borderId="14" xfId="0" applyNumberForma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 applyProtection="1">
      <alignment horizontal="center"/>
      <protection locked="0"/>
    </xf>
    <xf numFmtId="0" fontId="16" fillId="0" borderId="19" xfId="0" applyFont="1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165" fontId="0" fillId="3" borderId="19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 applyProtection="1">
      <alignment horizontal="center"/>
      <protection locked="0"/>
    </xf>
    <xf numFmtId="0" fontId="16" fillId="0" borderId="9" xfId="0" applyFont="1" applyBorder="1" applyAlignment="1" applyProtection="1">
      <alignment horizontal="center"/>
      <protection locked="0"/>
    </xf>
    <xf numFmtId="0" fontId="0" fillId="0" borderId="20" xfId="0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24" fillId="0" borderId="0" xfId="0" applyFont="1"/>
    <xf numFmtId="1" fontId="8" fillId="0" borderId="0" xfId="5" applyNumberFormat="1" applyFont="1" applyFill="1" applyAlignment="1">
      <alignment horizontal="center" vertical="center"/>
    </xf>
    <xf numFmtId="0" fontId="0" fillId="0" borderId="21" xfId="0" applyBorder="1" applyAlignment="1" applyProtection="1">
      <alignment horizontal="left"/>
      <protection locked="0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8" fillId="8" borderId="0" xfId="5" applyNumberFormat="1" applyFont="1" applyFill="1" applyAlignment="1">
      <alignment horizontal="center" vertical="center"/>
    </xf>
    <xf numFmtId="0" fontId="0" fillId="0" borderId="0" xfId="0" applyAlignment="1">
      <alignment horizontal="right" wrapText="1"/>
    </xf>
    <xf numFmtId="0" fontId="8" fillId="0" borderId="0" xfId="0" applyFont="1" applyAlignment="1">
      <alignment horizontal="right" wrapText="1"/>
    </xf>
    <xf numFmtId="1" fontId="8" fillId="0" borderId="0" xfId="5" applyNumberFormat="1" applyFont="1" applyAlignment="1" applyProtection="1">
      <alignment horizontal="center" vertical="center" wrapText="1"/>
      <protection locked="0"/>
    </xf>
    <xf numFmtId="0" fontId="8" fillId="8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8" borderId="0" xfId="0" applyFill="1" applyAlignment="1">
      <alignment horizontal="right" wrapText="1"/>
    </xf>
    <xf numFmtId="0" fontId="8" fillId="8" borderId="0" xfId="0" applyFont="1" applyFill="1" applyAlignment="1">
      <alignment horizontal="right" wrapText="1"/>
    </xf>
    <xf numFmtId="1" fontId="8" fillId="8" borderId="0" xfId="5" applyNumberFormat="1" applyFont="1" applyFill="1" applyAlignment="1" applyProtection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8" fillId="8" borderId="0" xfId="0" applyFont="1" applyFill="1" applyAlignment="1">
      <alignment horizontal="right"/>
    </xf>
    <xf numFmtId="1" fontId="8" fillId="0" borderId="0" xfId="5" applyNumberFormat="1" applyFont="1" applyFill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right"/>
    </xf>
    <xf numFmtId="0" fontId="0" fillId="8" borderId="0" xfId="0" applyFill="1" applyAlignment="1">
      <alignment horizontal="center" vertical="center"/>
    </xf>
    <xf numFmtId="1" fontId="8" fillId="0" borderId="0" xfId="0" applyNumberFormat="1" applyFont="1" applyAlignment="1">
      <alignment horizontal="center" vertical="center" wrapText="1"/>
    </xf>
    <xf numFmtId="0" fontId="0" fillId="8" borderId="0" xfId="0" applyFill="1" applyAlignment="1">
      <alignment horizontal="center"/>
    </xf>
    <xf numFmtId="165" fontId="8" fillId="8" borderId="0" xfId="0" applyNumberFormat="1" applyFont="1" applyFill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 applyProtection="1">
      <alignment horizontal="left" vertical="top" wrapText="1"/>
      <protection locked="0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49" fontId="0" fillId="0" borderId="0" xfId="0" applyNumberFormat="1" applyAlignment="1" applyProtection="1">
      <alignment horizontal="center" vertical="center" wrapText="1"/>
      <protection locked="0"/>
    </xf>
    <xf numFmtId="14" fontId="8" fillId="0" borderId="0" xfId="0" applyNumberFormat="1" applyFont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0" fontId="8" fillId="9" borderId="0" xfId="0" applyFont="1" applyFill="1" applyAlignment="1">
      <alignment horizontal="center" wrapText="1"/>
    </xf>
    <xf numFmtId="0" fontId="11" fillId="0" borderId="0" xfId="0" applyFont="1" applyAlignment="1">
      <alignment horizontal="center" wrapText="1"/>
    </xf>
    <xf numFmtId="0" fontId="8" fillId="2" borderId="0" xfId="0" applyFont="1" applyFill="1" applyAlignment="1">
      <alignment horizontal="center"/>
    </xf>
    <xf numFmtId="0" fontId="8" fillId="8" borderId="0" xfId="0" applyFont="1" applyFill="1" applyAlignment="1">
      <alignment horizontal="center" wrapText="1"/>
    </xf>
    <xf numFmtId="0" fontId="8" fillId="8" borderId="0" xfId="5" applyNumberFormat="1" applyFont="1" applyFill="1" applyAlignment="1">
      <alignment horizontal="center" vertical="center"/>
    </xf>
    <xf numFmtId="0" fontId="7" fillId="5" borderId="0" xfId="0" applyFont="1" applyFill="1" applyAlignment="1" applyProtection="1">
      <alignment horizontal="center"/>
      <protection locked="0"/>
    </xf>
    <xf numFmtId="0" fontId="7" fillId="4" borderId="3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0" borderId="0" xfId="0" applyFill="1" applyAlignment="1">
      <alignment horizontal="right" wrapText="1"/>
    </xf>
    <xf numFmtId="0" fontId="0" fillId="0" borderId="0" xfId="0" applyFill="1" applyAlignment="1" applyProtection="1">
      <alignment horizontal="center" vertical="center"/>
      <protection locked="0"/>
    </xf>
  </cellXfs>
  <cellStyles count="7">
    <cellStyle name="Comma" xfId="5" builtinId="3"/>
    <cellStyle name="Comma 2" xfId="4" xr:uid="{688BEF62-D5FC-4740-B980-7CE923E8BEA8}"/>
    <cellStyle name="Normal" xfId="0" builtinId="0"/>
    <cellStyle name="Normal 2" xfId="1" xr:uid="{0F809D31-3BE0-4E6F-BEE3-4B42296F07CD}"/>
    <cellStyle name="Normal 3" xfId="2" xr:uid="{59D6D1CA-CB45-4098-AFDD-AD75173D3FD4}"/>
    <cellStyle name="Normal 4" xfId="3" xr:uid="{50147B5D-B577-4D84-8D3E-2790725A5EE2}"/>
    <cellStyle name="Percent" xfId="6" builtinId="5"/>
  </cellStyles>
  <dxfs count="22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165" formatCode="0.0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z val="10"/>
        <name val="Andale Mono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ndale Mono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ndale Mono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</border>
      <protection locked="1" hidden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sz val="12"/>
        <color auto="1"/>
        <name val="Calibri"/>
        <family val="2"/>
      </font>
      <fill>
        <patternFill patternType="solid">
          <fgColor indexed="64"/>
          <bgColor rgb="FFFFC00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103716-E393-43AA-872A-215BD28108E4}" name="tbl_sWGA" displayName="tbl_sWGA" ref="A3:K99" totalsRowShown="0" headerRowDxfId="21" headerRowBorderDxfId="20" tableBorderDxfId="19" totalsRowBorderDxfId="18">
  <autoFilter ref="A3:K99" xr:uid="{4C103716-E393-43AA-872A-215BD28108E4}"/>
  <tableColumns count="11">
    <tableColumn id="1" xr3:uid="{AFEE5217-53A1-450F-B6A8-E87D945E0FAE}" name="#" dataDxfId="17"/>
    <tableColumn id="11" xr3:uid="{9D5B102D-7669-44BC-8187-47AAB97F9649}" name="Column" dataDxfId="16">
      <calculatedColumnFormula>RIGHT(tbl_sWGA[[#This Row],[Well]],LEN(tbl_sWGA[[#This Row],[Well]])-1)</calculatedColumnFormula>
    </tableColumn>
    <tableColumn id="6" xr3:uid="{0CF8190A-662E-422B-8BDD-34F3D27B34F2}" name="Well" dataDxfId="15"/>
    <tableColumn id="13" xr3:uid="{0F05B72A-22CD-46B4-A0A4-60921E6363DB}" name="Platemap ID" dataDxfId="14">
      <calculatedColumnFormula>IF(Assay!$F$32=Reference!$E$56,IF(LEN(tbl_sWGA[[#This Row],[Sample ID]])&gt;0,tbl_sWGA[[#This Row],[Sample ID]],""),IF(LEN(tbl_sWGA[[#This Row],[Extraction ID]])&gt;0,tbl_sWGA[[#This Row],[Extraction ID]],""))</calculatedColumnFormula>
    </tableColumn>
    <tableColumn id="2" xr3:uid="{CE61E1E1-E9B3-4D58-9DFE-1AB6DDFCD05A}" name="Sample ID" dataDxfId="13"/>
    <tableColumn id="3" xr3:uid="{9795EF0E-2DE1-455A-A3FF-0804F7CBA8C3}" name="Extraction ID" dataDxfId="12"/>
    <tableColumn id="4" xr3:uid="{5587DAF9-72AA-46A4-AAFA-83520030B12F}" name="Sample Type" dataDxfId="11"/>
    <tableColumn id="8" xr3:uid="{17E17A49-9A1B-4B36-98B0-66368F2A095E}" name="sWGA template (ul)" dataDxfId="10"/>
    <tableColumn id="12" xr3:uid="{6392E74F-2A5C-4E61-A4E5-54FD59E2FF90}" name="sWGA qubit [DNA] (ng / ul)" dataDxfId="9"/>
    <tableColumn id="9" xr3:uid="{182C6360-B664-4CDB-83F5-523D173848EB}" name="sWGA Dilution Factor" dataDxfId="8"/>
    <tableColumn id="5" xr3:uid="{B3E809FC-AA96-4329-8BC3-6D3188F7C694}" name="sWGA product [DNA] (ng / ul)" dataDxfId="7">
      <calculatedColumnFormula>IF(OR(ISBLANK(tbl_sWGA[[#This Row],[sWGA qubit '[DNA'] (ng / ul)]]),ISBLANK(tbl_sWGA[[#This Row],[sWGA Dilution Factor]])),"",SUM(tbl_sWGA[[#This Row],[sWGA qubit '[DNA'] (ng / ul)]]*tbl_sWGA[[#This Row],[sWGA Dilution Factor]]))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4FA29E-6DC2-47A8-8DE8-3C1612926E90}" name="tbl_expt_metadata" displayName="tbl_expt_metadata" ref="A1:K2" totalsRowShown="0">
  <autoFilter ref="A1:K2" xr:uid="{FB4FA29E-6DC2-47A8-8DE8-3C1612926E90}"/>
  <tableColumns count="11">
    <tableColumn id="1" xr3:uid="{7A035B8A-404A-4AC3-B440-D82E5E6068A8}" name="expt_id">
      <calculatedColumnFormula>IF(LEN(exp_id)=0,"",exp_id)</calculatedColumnFormula>
    </tableColumn>
    <tableColumn id="7" xr3:uid="{0B63A709-0BB1-4213-B54B-DC29A619F5DC}" name="expt_date">
      <calculatedColumnFormula>IF(LEN(exp_date)=0,"",exp_date)</calculatedColumnFormula>
    </tableColumn>
    <tableColumn id="6" xr3:uid="{11757D10-BD01-43A4-B328-F844A55DF65E}" name="expt_user">
      <calculatedColumnFormula>IF(LEN(user_name)=0,"",user_name)</calculatedColumnFormula>
    </tableColumn>
    <tableColumn id="3" xr3:uid="{4F1B9628-E03C-4A31-9896-D7E543CCB062}" name="expt_type">
      <calculatedColumnFormula>IF(LEN(exp_type)=0,"",exp_type)</calculatedColumnFormula>
    </tableColumn>
    <tableColumn id="5" xr3:uid="{D959B6BA-772D-4BAB-911D-448AC444559F}" name="expt_version">
      <calculatedColumnFormula>IF(LEN(exp_version)=0,"",exp_version)</calculatedColumnFormula>
    </tableColumn>
    <tableColumn id="8" xr3:uid="{F2124D1B-85F7-4448-A1EF-67C98844CFB5}" name="expt_rxns">
      <calculatedColumnFormula>IF(LEN(exp_rxns)=0,"",exp_rxns)</calculatedColumnFormula>
    </tableColumn>
    <tableColumn id="10" xr3:uid="{7699FAE5-CE2C-4B5E-ADD0-2AE622737F10}" name="expt_notes">
      <calculatedColumnFormula>IF(LEN(exp_notes)=0,"",exp_notes)</calculatedColumnFormula>
    </tableColumn>
    <tableColumn id="9" xr3:uid="{2D9B1B77-2E59-4E0D-ACB3-C21F2162AD9D}" name="expt_summary">
      <calculatedColumnFormula>IF(LEN(exp_summary)=0,"",exp_summary)</calculatedColumnFormula>
    </tableColumn>
    <tableColumn id="11" xr3:uid="{00542FAB-A3C8-4C82-A468-72F2D2CB8137}" name="swga_enzyme">
      <calculatedColumnFormula>swga_enzyme</calculatedColumnFormula>
    </tableColumn>
    <tableColumn id="2" xr3:uid="{D27AA281-2010-4088-B71D-18AD05E1377E}" name="swga_rxnvol_ul">
      <calculatedColumnFormula>IF(LEN(swga_rxnvol)=0,"",swga_rxnvol)</calculatedColumnFormula>
    </tableColumn>
    <tableColumn id="4" xr3:uid="{76103468-9E71-47C9-B38E-C85D63B7CBEC}" name="swga_targetmass_ng">
      <calculatedColumnFormula>IF(LEN(swga_targetmass)=0,"",swga_targetmass)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B33337-57AD-4E7A-90CB-3035C0FB4E08}" name="tbl_rxn_metadata" displayName="tbl_rxn_metadata" ref="A1:E97" totalsRowShown="0">
  <autoFilter ref="A1:E97" xr:uid="{CCB33337-57AD-4E7A-90CB-3035C0FB4E08}"/>
  <tableColumns count="5">
    <tableColumn id="2" xr3:uid="{5F3394BF-DF77-48C1-B2AA-E7EF228DDFEA}" name="sample_id">
      <calculatedColumnFormula>IF(LEN(sWGA!E4)=0,"",sWGA!E4)</calculatedColumnFormula>
    </tableColumn>
    <tableColumn id="3" xr3:uid="{E11C4165-C164-4B88-9BF1-7FC2458E8999}" name="extraction_id">
      <calculatedColumnFormula>IF(LEN(sWGA!F4)=0,"",sWGA!F4)</calculatedColumnFormula>
    </tableColumn>
    <tableColumn id="6" xr3:uid="{1FB0E1F2-B22B-4383-B21B-4C2C979A2F8D}" name="sample_type" dataDxfId="6">
      <calculatedColumnFormula>IF(LEN(sWGA!G4)=0,"",sWGA!G4)</calculatedColumnFormula>
    </tableColumn>
    <tableColumn id="5" xr3:uid="{69977892-2940-4767-BCD3-8A7DBDFEFE49}" name="swga_template_ul">
      <calculatedColumnFormula>IF(LEN(sWGA!H4)=0,"",sWGA!H4)</calculatedColumnFormula>
    </tableColumn>
    <tableColumn id="8" xr3:uid="{93535458-6311-412F-9B5D-5D2548EC8C00}" name="swga_product_ngul">
      <calculatedColumnFormula>IF(LEN(sWGA!K4)=0,"",sWGA!K4)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5826-E783-4004-A618-24FF73D48C76}">
  <sheetPr codeName="Sheet1">
    <tabColor rgb="FF92D050"/>
    <pageSetUpPr fitToPage="1"/>
  </sheetPr>
  <dimension ref="A1:N44"/>
  <sheetViews>
    <sheetView workbookViewId="0">
      <selection activeCell="C9" sqref="C9:H9"/>
    </sheetView>
  </sheetViews>
  <sheetFormatPr defaultRowHeight="15.6"/>
  <cols>
    <col min="1" max="8" width="9" style="6" customWidth="1"/>
  </cols>
  <sheetData>
    <row r="1" spans="1:13">
      <c r="A1" s="103" t="s">
        <v>143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</row>
    <row r="2" spans="1:13" ht="15.75" customHeight="1">
      <c r="A2" s="81" t="s">
        <v>132</v>
      </c>
      <c r="B2" s="82"/>
      <c r="C2" s="105"/>
      <c r="D2" s="105"/>
      <c r="E2" s="105"/>
      <c r="F2" s="105"/>
      <c r="G2" s="104" t="s">
        <v>136</v>
      </c>
      <c r="H2" s="104"/>
      <c r="K2" s="109" t="s">
        <v>135</v>
      </c>
      <c r="L2" s="109"/>
    </row>
    <row r="3" spans="1:13" ht="15.75" customHeight="1">
      <c r="A3" s="81" t="s">
        <v>137</v>
      </c>
      <c r="B3" s="82"/>
      <c r="C3" s="106"/>
      <c r="D3" s="106"/>
      <c r="E3" s="106"/>
      <c r="F3" s="106"/>
      <c r="G3" t="s">
        <v>205</v>
      </c>
      <c r="K3" s="110" t="s">
        <v>3</v>
      </c>
      <c r="L3" s="110"/>
    </row>
    <row r="4" spans="1:13" ht="15.75" customHeight="1">
      <c r="A4" s="119" t="s">
        <v>206</v>
      </c>
      <c r="B4" s="119"/>
      <c r="C4" s="120" t="str" cm="1">
        <f t="array" ref="C4">IF(ISBLANK(user_name),"",_xlfn.CONCAT(LEFT(_xlfn.TEXTSPLIT(TRIM(user_name)," "),1)))</f>
        <v/>
      </c>
      <c r="D4" s="120"/>
      <c r="E4" s="120"/>
      <c r="F4" s="120"/>
      <c r="G4" t="s">
        <v>210</v>
      </c>
      <c r="K4" s="111" t="s">
        <v>4</v>
      </c>
      <c r="L4" s="111"/>
    </row>
    <row r="5" spans="1:13" ht="15.75" customHeight="1">
      <c r="A5" s="81" t="s">
        <v>141</v>
      </c>
      <c r="B5" s="82"/>
      <c r="C5" s="107"/>
      <c r="D5" s="107"/>
      <c r="E5" s="107"/>
      <c r="F5" s="107"/>
      <c r="G5" s="26" t="s">
        <v>139</v>
      </c>
      <c r="K5" s="108" t="s">
        <v>170</v>
      </c>
      <c r="L5" s="108"/>
    </row>
    <row r="6" spans="1:13" ht="15.75" customHeight="1">
      <c r="A6" s="95" t="s">
        <v>168</v>
      </c>
      <c r="B6" s="95"/>
      <c r="C6" s="94"/>
      <c r="D6" s="94"/>
      <c r="E6" s="94"/>
      <c r="F6" s="94"/>
      <c r="G6" s="20" t="s">
        <v>204</v>
      </c>
      <c r="K6" s="108"/>
      <c r="L6" s="108"/>
    </row>
    <row r="7" spans="1:13">
      <c r="A7" s="87" t="s">
        <v>138</v>
      </c>
      <c r="B7" s="88"/>
      <c r="C7" s="96" t="str">
        <f>IF(OR(ISBLANK(C3),ISBLANK(C5)),"",CONCATENATE("SW",user_initials,C5))</f>
        <v/>
      </c>
      <c r="D7" s="96"/>
      <c r="E7" s="96"/>
      <c r="F7" s="96"/>
      <c r="G7" s="20" t="s">
        <v>151</v>
      </c>
    </row>
    <row r="8" spans="1:13" ht="15.75" customHeight="1">
      <c r="A8" s="87" t="s">
        <v>133</v>
      </c>
      <c r="B8" s="88"/>
      <c r="C8" s="112" t="str">
        <f>IF(OR(ISBLANK(C2),ISBLANK(C3),LEN(C7)=0),"",CONCATENATE(C2,"_",C7))</f>
        <v/>
      </c>
      <c r="D8" s="112"/>
      <c r="E8" s="112"/>
      <c r="F8" s="112"/>
      <c r="G8" s="23"/>
    </row>
    <row r="9" spans="1:13" ht="15.75" customHeight="1">
      <c r="A9" s="93" t="s">
        <v>171</v>
      </c>
      <c r="B9" s="93"/>
      <c r="C9" s="80" t="str">
        <f>IF(LEN(C8)=0,"",CONCATENATE(C8,"_",exp_summary))</f>
        <v/>
      </c>
      <c r="D9" s="80"/>
      <c r="E9" s="80"/>
      <c r="F9" s="80"/>
      <c r="G9" s="80"/>
      <c r="H9" s="80"/>
    </row>
    <row r="10" spans="1:13" ht="15.75" customHeight="1">
      <c r="A10" s="87" t="s">
        <v>134</v>
      </c>
      <c r="B10" s="88"/>
      <c r="C10" s="89">
        <f>COUNTA(sWGA!E4:E99)</f>
        <v>0</v>
      </c>
      <c r="D10" s="89"/>
      <c r="E10" s="89"/>
      <c r="F10" s="89"/>
      <c r="G10" s="20" t="s">
        <v>207</v>
      </c>
      <c r="H10" s="76"/>
    </row>
    <row r="11" spans="1:13" ht="15.75" customHeight="1">
      <c r="A11" s="81" t="s">
        <v>177</v>
      </c>
      <c r="B11" s="82"/>
      <c r="C11" s="83" t="s">
        <v>181</v>
      </c>
      <c r="D11" s="83"/>
      <c r="E11" s="83"/>
      <c r="F11" s="83"/>
      <c r="G11" t="s">
        <v>140</v>
      </c>
      <c r="H11"/>
    </row>
    <row r="12" spans="1:13">
      <c r="A12" s="53"/>
      <c r="B12" s="52" t="s">
        <v>144</v>
      </c>
      <c r="C12" s="98">
        <f>IF(swga_enzyme=Reference!$E$17,50,20)</f>
        <v>20</v>
      </c>
      <c r="D12" s="98"/>
      <c r="E12" s="98"/>
      <c r="F12" s="98"/>
      <c r="G12"/>
    </row>
    <row r="13" spans="1:13">
      <c r="A13" s="29"/>
      <c r="B13" s="31" t="s">
        <v>166</v>
      </c>
      <c r="C13" s="102"/>
      <c r="D13" s="102"/>
      <c r="E13" s="102"/>
      <c r="F13" s="102"/>
      <c r="G13" s="102"/>
      <c r="H13" s="102"/>
      <c r="I13" s="102"/>
      <c r="J13" s="102"/>
      <c r="K13" s="102"/>
    </row>
    <row r="14" spans="1:13">
      <c r="A14" s="29"/>
      <c r="B14" s="31"/>
      <c r="C14" s="102"/>
      <c r="D14" s="102"/>
      <c r="E14" s="102"/>
      <c r="F14" s="102"/>
      <c r="G14" s="102"/>
      <c r="H14" s="102"/>
      <c r="I14" s="102"/>
      <c r="J14" s="102"/>
      <c r="K14" s="102"/>
    </row>
    <row r="15" spans="1:13">
      <c r="A15" s="7"/>
      <c r="C15" s="8"/>
      <c r="D15" s="7"/>
      <c r="E15" s="7"/>
      <c r="F15" s="7"/>
      <c r="G15" s="7"/>
      <c r="H15" s="7"/>
    </row>
    <row r="16" spans="1:13">
      <c r="A16" s="11" t="s">
        <v>146</v>
      </c>
      <c r="B16" s="8"/>
      <c r="C16" s="16" t="s">
        <v>22</v>
      </c>
      <c r="D16" s="48">
        <v>0.1</v>
      </c>
      <c r="E16" s="7"/>
      <c r="F16" s="7"/>
      <c r="G16" s="7"/>
    </row>
    <row r="17" spans="1:13">
      <c r="A17" s="14" t="str">
        <f>CONCATENATE("  1. Make up master mix as below and add ", SUM(D19:D24), " µl to each well")</f>
        <v xml:space="preserve">  1. Make up master mix as below and add 7.2 µl to each well</v>
      </c>
      <c r="B17" s="8"/>
      <c r="C17" s="7"/>
      <c r="D17" s="7"/>
      <c r="E17" s="7"/>
      <c r="F17" s="7"/>
      <c r="G17" s="7"/>
    </row>
    <row r="18" spans="1:13" ht="16.2" thickBot="1">
      <c r="A18" s="90" t="s">
        <v>6</v>
      </c>
      <c r="B18" s="90"/>
      <c r="C18" s="90"/>
      <c r="D18" s="91" t="s">
        <v>7</v>
      </c>
      <c r="E18" s="91"/>
      <c r="F18" s="91" t="str">
        <f>CONCATENATE("MM x",exp_rxns," (µl)")</f>
        <v>MM x0 (µl)</v>
      </c>
      <c r="G18" s="91"/>
      <c r="J18" s="100" t="s">
        <v>8</v>
      </c>
      <c r="K18" s="100"/>
      <c r="L18" s="12" t="s">
        <v>9</v>
      </c>
    </row>
    <row r="19" spans="1:13">
      <c r="A19" s="85" t="s">
        <v>179</v>
      </c>
      <c r="B19" s="85"/>
      <c r="C19" s="85"/>
      <c r="D19" s="84">
        <f>swga_rxnvol/10</f>
        <v>2</v>
      </c>
      <c r="E19" s="84"/>
      <c r="F19" s="99">
        <f t="shared" ref="F19:F22" si="0">IF(ISBLANK(swga_rxnvol),"",SUM(D19*exp_rxns*(1+$D$16)))</f>
        <v>0</v>
      </c>
      <c r="G19" s="99"/>
      <c r="J19" s="101">
        <f>Reference!E26</f>
        <v>45</v>
      </c>
      <c r="K19" s="101"/>
      <c r="L19" s="10" t="str">
        <f>Reference!F26</f>
        <v>Prepare</v>
      </c>
    </row>
    <row r="20" spans="1:13">
      <c r="A20" s="86" t="str">
        <f>IF(swga_enzyme=Reference!$E$17,"100nM Primer Mix","500uM Primer Mix")</f>
        <v>500uM Primer Mix</v>
      </c>
      <c r="B20" s="86"/>
      <c r="C20" s="86"/>
      <c r="D20" s="84">
        <f>IF(swga_enzyme=Reference!$E$17,0.25,2)</f>
        <v>2</v>
      </c>
      <c r="E20" s="84"/>
      <c r="F20" s="99">
        <f t="shared" si="0"/>
        <v>0</v>
      </c>
      <c r="G20" s="99"/>
      <c r="J20" s="101">
        <f>Reference!E27</f>
        <v>45</v>
      </c>
      <c r="K20" s="101"/>
      <c r="L20" s="10" t="str">
        <f>Reference!F27</f>
        <v>60 min</v>
      </c>
    </row>
    <row r="21" spans="1:13" ht="15.75" customHeight="1">
      <c r="A21" s="86" t="str">
        <f>IF(swga_enzyme=Reference!$E$17,"BSA (20mg/mL)","DTT")</f>
        <v>DTT</v>
      </c>
      <c r="B21" s="86"/>
      <c r="C21" s="86"/>
      <c r="D21" s="84">
        <f>IF(swga_enzyme=Reference!$E$17,1.25,0.2)</f>
        <v>0.2</v>
      </c>
      <c r="E21" s="84"/>
      <c r="F21" s="99">
        <f t="shared" si="0"/>
        <v>0</v>
      </c>
      <c r="G21" s="99"/>
      <c r="J21" s="101">
        <f>Reference!E28</f>
        <v>65</v>
      </c>
      <c r="K21" s="101"/>
      <c r="L21" s="10" t="str">
        <f>Reference!F28</f>
        <v>10 min</v>
      </c>
    </row>
    <row r="22" spans="1:13">
      <c r="A22" s="85" t="s">
        <v>2</v>
      </c>
      <c r="B22" s="85"/>
      <c r="C22" s="85"/>
      <c r="D22" s="84">
        <f>IF(swga_enzyme=Reference!$E$17,5,2)</f>
        <v>2</v>
      </c>
      <c r="E22" s="84"/>
      <c r="F22" s="99">
        <f t="shared" si="0"/>
        <v>0</v>
      </c>
      <c r="G22" s="99"/>
      <c r="J22" s="101">
        <f>Reference!E29</f>
        <v>8</v>
      </c>
      <c r="K22" s="101"/>
      <c r="L22" s="10" t="str">
        <f>Reference!F29</f>
        <v>∞</v>
      </c>
    </row>
    <row r="23" spans="1:13">
      <c r="A23" s="97" t="str">
        <f>_xlfn.CONCAT(IF(C11="","Select",C11)," polymerase")</f>
        <v>equiphi29 polymerase</v>
      </c>
      <c r="B23" s="85"/>
      <c r="C23" s="85"/>
      <c r="D23" s="84">
        <v>1</v>
      </c>
      <c r="E23" s="84"/>
      <c r="F23" s="99">
        <f>IF(ISBLANK(swga_rxnvol),"",SUM(D23*exp_rxns*(1+$D$16)))</f>
        <v>0</v>
      </c>
      <c r="G23" s="99"/>
      <c r="J23" s="101" t="str">
        <f>Reference!E30</f>
        <v>-</v>
      </c>
      <c r="K23" s="101"/>
      <c r="L23" s="10" t="str">
        <f>Reference!F30</f>
        <v>-</v>
      </c>
    </row>
    <row r="24" spans="1:13">
      <c r="A24" s="86" t="s">
        <v>11</v>
      </c>
      <c r="B24" s="86"/>
      <c r="C24" s="86"/>
      <c r="D24" s="84">
        <f>SUM(swga_rxnvol-swga_template_maxvol)-SUM(D19:E23)</f>
        <v>0</v>
      </c>
      <c r="E24" s="84"/>
      <c r="F24" s="99">
        <f>IF(ISBLANK(swga_rxnvol),"",SUM(D24*exp_rxns*(1+$D$16)))</f>
        <v>0</v>
      </c>
      <c r="G24" s="99"/>
      <c r="J24" s="101" t="str">
        <f>Reference!E31</f>
        <v>-</v>
      </c>
      <c r="K24" s="101"/>
      <c r="L24" s="10" t="str">
        <f>Reference!F31</f>
        <v>-</v>
      </c>
    </row>
    <row r="25" spans="1:13">
      <c r="G25" s="17" t="str">
        <f>CONCATENATE("Add ",SUM(D19:D24)," µl of MM to each well")</f>
        <v>Add 7.2 µl of MM to each well</v>
      </c>
      <c r="J25" s="101" t="str">
        <f>Reference!E32</f>
        <v>-</v>
      </c>
      <c r="K25" s="101"/>
      <c r="L25" s="10" t="str">
        <f>Reference!F32</f>
        <v>-</v>
      </c>
    </row>
    <row r="26" spans="1:13">
      <c r="B26" s="7"/>
      <c r="C26" s="9"/>
      <c r="D26" s="7"/>
      <c r="G26" s="10"/>
      <c r="J26" s="101" t="str">
        <f>Reference!E33</f>
        <v>-</v>
      </c>
      <c r="K26" s="101"/>
      <c r="L26" s="10" t="str">
        <f>Reference!F33</f>
        <v>-</v>
      </c>
    </row>
    <row r="27" spans="1:13">
      <c r="A27" s="14" t="str">
        <f>CONCATENATE("  2. For each sample add target of ",swga_targetmass," ng of DNA for each up to a max vol of ",swga_template_maxvol,"ul. Add TE as required.")</f>
        <v xml:space="preserve">  2. For each sample add target of 40 ng of DNA for each up to a max vol of 12.8ul. Add TE as required.</v>
      </c>
      <c r="B27" s="7"/>
      <c r="C27" s="9"/>
      <c r="D27" s="7"/>
      <c r="F27" s="13"/>
      <c r="G27" s="10"/>
      <c r="K27" s="78" t="s">
        <v>142</v>
      </c>
      <c r="L27" s="78"/>
      <c r="M27" s="78"/>
    </row>
    <row r="28" spans="1:13">
      <c r="A28" s="14" t="s">
        <v>147</v>
      </c>
      <c r="B28" s="7"/>
      <c r="C28" s="9"/>
      <c r="D28" s="7"/>
      <c r="F28" s="13"/>
      <c r="G28" s="10"/>
    </row>
    <row r="29" spans="1:13" ht="33" customHeight="1">
      <c r="A29" s="92" t="str">
        <f>IF(swga_enzyme=Reference!$E$17,"  4. Quantify 1 µl (199 µl WS 1X HS DNA). Dilute in water if required","  4. Dilute sWGA product by adding 160 µl water or low TE-Buffer (mix well). Aliquot 90 µl into backup plate and store at 4°C")</f>
        <v xml:space="preserve">  4. Dilute sWGA product by adding 160 µl water or low TE-Buffer (mix well). Aliquot 90 µl into backup plate and store at 4°C</v>
      </c>
      <c r="B29" s="92"/>
      <c r="C29" s="92"/>
      <c r="D29" s="92"/>
      <c r="E29" s="92"/>
      <c r="F29" s="92"/>
      <c r="G29" s="92"/>
      <c r="H29" s="92"/>
      <c r="I29" s="92"/>
      <c r="J29" s="92"/>
      <c r="K29" s="79" t="str">
        <f>IF(swga_enzyme=Reference!$E$17,"(Enter in sWGA Tab)","")</f>
        <v/>
      </c>
      <c r="L29" s="79"/>
      <c r="M29" s="79"/>
    </row>
    <row r="30" spans="1:13">
      <c r="A30" s="14" t="str">
        <f>IF(swga_enzyme=Reference!$E$17, "","  5. Quantify 1 µl (199 µl WS 1X HS DNA). Dilute in water if required")</f>
        <v xml:space="preserve">  5. Quantify 1 µl (199 µl WS 1X HS DNA). Dilute in water if required</v>
      </c>
      <c r="B30" s="7"/>
      <c r="C30" s="9"/>
      <c r="D30" s="7"/>
      <c r="F30" s="13"/>
      <c r="G30" s="10"/>
      <c r="K30" s="79" t="str">
        <f>IF(swga_enzyme=Reference!$E$17,"","(Enter in sWGA Tab)")</f>
        <v>(Enter in sWGA Tab)</v>
      </c>
      <c r="L30" s="79"/>
      <c r="M30" s="79"/>
    </row>
    <row r="31" spans="1:13">
      <c r="A31" s="14"/>
      <c r="B31" s="7"/>
      <c r="C31" s="9"/>
      <c r="D31" s="7"/>
      <c r="F31" s="13"/>
      <c r="G31" s="10"/>
      <c r="K31" s="54"/>
      <c r="L31" s="54"/>
      <c r="M31" s="54"/>
    </row>
    <row r="32" spans="1:13">
      <c r="A32" s="21" t="s">
        <v>32</v>
      </c>
      <c r="B32" t="s">
        <v>195</v>
      </c>
      <c r="C32"/>
      <c r="D32"/>
      <c r="E32"/>
      <c r="F32" s="77" t="s">
        <v>5</v>
      </c>
      <c r="G32" s="77"/>
      <c r="H32"/>
    </row>
    <row r="33" spans="1:14">
      <c r="A33"/>
      <c r="B33" s="27">
        <v>1</v>
      </c>
      <c r="C33" s="27">
        <v>2</v>
      </c>
      <c r="D33" s="27">
        <v>3</v>
      </c>
      <c r="E33" s="27">
        <v>4</v>
      </c>
      <c r="F33" s="27">
        <v>5</v>
      </c>
      <c r="G33" s="27">
        <v>6</v>
      </c>
      <c r="H33" s="27">
        <v>7</v>
      </c>
      <c r="I33" s="27">
        <v>8</v>
      </c>
      <c r="J33" s="27">
        <v>9</v>
      </c>
      <c r="K33" s="27">
        <v>10</v>
      </c>
      <c r="L33" s="27">
        <v>11</v>
      </c>
      <c r="M33" s="27">
        <v>12</v>
      </c>
    </row>
    <row r="34" spans="1:14">
      <c r="A34" s="28" t="s">
        <v>24</v>
      </c>
      <c r="B34" s="32" t="str">
        <f>sWGA!$D4</f>
        <v/>
      </c>
      <c r="C34" s="32" t="str">
        <f>sWGA!$D12</f>
        <v/>
      </c>
      <c r="D34" s="32" t="str">
        <f>sWGA!$D20</f>
        <v/>
      </c>
      <c r="E34" s="32" t="str">
        <f>sWGA!$D28</f>
        <v/>
      </c>
      <c r="F34" s="32" t="str">
        <f>sWGA!$D36</f>
        <v/>
      </c>
      <c r="G34" s="32" t="str">
        <f>sWGA!$D44</f>
        <v/>
      </c>
      <c r="H34" s="32" t="str">
        <f>sWGA!$D52</f>
        <v/>
      </c>
      <c r="I34" s="32" t="str">
        <f>sWGA!$D60</f>
        <v/>
      </c>
      <c r="J34" s="32" t="str">
        <f>sWGA!$D68</f>
        <v/>
      </c>
      <c r="K34" s="32" t="str">
        <f>sWGA!$D76</f>
        <v/>
      </c>
      <c r="L34" s="32" t="str">
        <f>sWGA!$D84</f>
        <v/>
      </c>
      <c r="M34" s="32" t="str">
        <f>sWGA!$D92</f>
        <v/>
      </c>
    </row>
    <row r="35" spans="1:14">
      <c r="A35" s="28" t="s">
        <v>25</v>
      </c>
      <c r="B35" s="32" t="str">
        <f>sWGA!$D5</f>
        <v/>
      </c>
      <c r="C35" s="32" t="str">
        <f>sWGA!$D13</f>
        <v/>
      </c>
      <c r="D35" s="32" t="str">
        <f>sWGA!$D21</f>
        <v/>
      </c>
      <c r="E35" s="32" t="str">
        <f>sWGA!$D29</f>
        <v/>
      </c>
      <c r="F35" s="32" t="str">
        <f>sWGA!$D37</f>
        <v/>
      </c>
      <c r="G35" s="32" t="str">
        <f>sWGA!$D45</f>
        <v/>
      </c>
      <c r="H35" s="32" t="str">
        <f>sWGA!$D53</f>
        <v/>
      </c>
      <c r="I35" s="32" t="str">
        <f>sWGA!$D61</f>
        <v/>
      </c>
      <c r="J35" s="32" t="str">
        <f>sWGA!$D69</f>
        <v/>
      </c>
      <c r="K35" s="32" t="str">
        <f>sWGA!$D77</f>
        <v/>
      </c>
      <c r="L35" s="32" t="str">
        <f>sWGA!$D85</f>
        <v/>
      </c>
      <c r="M35" s="32" t="str">
        <f>sWGA!$D93</f>
        <v/>
      </c>
    </row>
    <row r="36" spans="1:14">
      <c r="A36" s="28" t="s">
        <v>26</v>
      </c>
      <c r="B36" s="32" t="str">
        <f>sWGA!$D6</f>
        <v/>
      </c>
      <c r="C36" s="32" t="str">
        <f>sWGA!$D14</f>
        <v/>
      </c>
      <c r="D36" s="32" t="str">
        <f>sWGA!$D22</f>
        <v/>
      </c>
      <c r="E36" s="32" t="str">
        <f>sWGA!$D30</f>
        <v/>
      </c>
      <c r="F36" s="32" t="str">
        <f>sWGA!$D38</f>
        <v/>
      </c>
      <c r="G36" s="32" t="str">
        <f>sWGA!$D46</f>
        <v/>
      </c>
      <c r="H36" s="32" t="str">
        <f>sWGA!$D54</f>
        <v/>
      </c>
      <c r="I36" s="32" t="str">
        <f>sWGA!$D62</f>
        <v/>
      </c>
      <c r="J36" s="32" t="str">
        <f>sWGA!$D70</f>
        <v/>
      </c>
      <c r="K36" s="32" t="str">
        <f>sWGA!$D78</f>
        <v/>
      </c>
      <c r="L36" s="32" t="str">
        <f>sWGA!$D86</f>
        <v/>
      </c>
      <c r="M36" s="32" t="str">
        <f>sWGA!$D94</f>
        <v/>
      </c>
    </row>
    <row r="37" spans="1:14">
      <c r="A37" s="28" t="s">
        <v>27</v>
      </c>
      <c r="B37" s="32" t="str">
        <f>sWGA!$D7</f>
        <v/>
      </c>
      <c r="C37" s="32" t="str">
        <f>sWGA!$D15</f>
        <v/>
      </c>
      <c r="D37" s="32" t="str">
        <f>sWGA!$D23</f>
        <v/>
      </c>
      <c r="E37" s="32" t="str">
        <f>sWGA!$D31</f>
        <v/>
      </c>
      <c r="F37" s="32" t="str">
        <f>sWGA!$D39</f>
        <v/>
      </c>
      <c r="G37" s="32" t="str">
        <f>sWGA!$D47</f>
        <v/>
      </c>
      <c r="H37" s="32" t="str">
        <f>sWGA!$D55</f>
        <v/>
      </c>
      <c r="I37" s="32" t="str">
        <f>sWGA!$D63</f>
        <v/>
      </c>
      <c r="J37" s="32" t="str">
        <f>sWGA!$D71</f>
        <v/>
      </c>
      <c r="K37" s="32" t="str">
        <f>sWGA!$D79</f>
        <v/>
      </c>
      <c r="L37" s="32" t="str">
        <f>sWGA!$D87</f>
        <v/>
      </c>
      <c r="M37" s="32" t="str">
        <f>sWGA!$D95</f>
        <v/>
      </c>
    </row>
    <row r="38" spans="1:14">
      <c r="A38" s="28" t="s">
        <v>28</v>
      </c>
      <c r="B38" s="32" t="str">
        <f>sWGA!$D8</f>
        <v/>
      </c>
      <c r="C38" s="32" t="str">
        <f>sWGA!$D16</f>
        <v/>
      </c>
      <c r="D38" s="32" t="str">
        <f>sWGA!$D24</f>
        <v/>
      </c>
      <c r="E38" s="32" t="str">
        <f>sWGA!$D32</f>
        <v/>
      </c>
      <c r="F38" s="32" t="str">
        <f>sWGA!$D40</f>
        <v/>
      </c>
      <c r="G38" s="32" t="str">
        <f>sWGA!$D48</f>
        <v/>
      </c>
      <c r="H38" s="32" t="str">
        <f>sWGA!$D56</f>
        <v/>
      </c>
      <c r="I38" s="32" t="str">
        <f>sWGA!$D64</f>
        <v/>
      </c>
      <c r="J38" s="32" t="str">
        <f>sWGA!$D72</f>
        <v/>
      </c>
      <c r="K38" s="32" t="str">
        <f>sWGA!$D80</f>
        <v/>
      </c>
      <c r="L38" s="32" t="str">
        <f>sWGA!$D88</f>
        <v/>
      </c>
      <c r="M38" s="32" t="str">
        <f>sWGA!$D96</f>
        <v/>
      </c>
    </row>
    <row r="39" spans="1:14">
      <c r="A39" s="28" t="s">
        <v>29</v>
      </c>
      <c r="B39" s="32" t="str">
        <f>sWGA!$D9</f>
        <v/>
      </c>
      <c r="C39" s="32" t="str">
        <f>sWGA!$D17</f>
        <v/>
      </c>
      <c r="D39" s="32" t="str">
        <f>sWGA!$D25</f>
        <v/>
      </c>
      <c r="E39" s="32" t="str">
        <f>sWGA!$D33</f>
        <v/>
      </c>
      <c r="F39" s="32" t="str">
        <f>sWGA!$D41</f>
        <v/>
      </c>
      <c r="G39" s="32" t="str">
        <f>sWGA!$D49</f>
        <v/>
      </c>
      <c r="H39" s="32" t="str">
        <f>sWGA!$D57</f>
        <v/>
      </c>
      <c r="I39" s="32" t="str">
        <f>sWGA!$D65</f>
        <v/>
      </c>
      <c r="J39" s="32" t="str">
        <f>sWGA!$D73</f>
        <v/>
      </c>
      <c r="K39" s="32" t="str">
        <f>sWGA!$D81</f>
        <v/>
      </c>
      <c r="L39" s="32" t="str">
        <f>sWGA!$D89</f>
        <v/>
      </c>
      <c r="M39" s="32" t="str">
        <f>sWGA!$D97</f>
        <v/>
      </c>
    </row>
    <row r="40" spans="1:14">
      <c r="A40" s="28" t="s">
        <v>30</v>
      </c>
      <c r="B40" s="32" t="str">
        <f>sWGA!$D10</f>
        <v/>
      </c>
      <c r="C40" s="32" t="str">
        <f>sWGA!$D18</f>
        <v/>
      </c>
      <c r="D40" s="32" t="str">
        <f>sWGA!$D26</f>
        <v/>
      </c>
      <c r="E40" s="32" t="str">
        <f>sWGA!$D34</f>
        <v/>
      </c>
      <c r="F40" s="32" t="str">
        <f>sWGA!$D42</f>
        <v/>
      </c>
      <c r="G40" s="32" t="str">
        <f>sWGA!$D50</f>
        <v/>
      </c>
      <c r="H40" s="32" t="str">
        <f>sWGA!$D58</f>
        <v/>
      </c>
      <c r="I40" s="32" t="str">
        <f>sWGA!$D66</f>
        <v/>
      </c>
      <c r="J40" s="32" t="str">
        <f>sWGA!$D74</f>
        <v/>
      </c>
      <c r="K40" s="32" t="str">
        <f>sWGA!$D82</f>
        <v/>
      </c>
      <c r="L40" s="32" t="str">
        <f>sWGA!$D90</f>
        <v/>
      </c>
      <c r="M40" s="32" t="str">
        <f>sWGA!$D98</f>
        <v/>
      </c>
    </row>
    <row r="41" spans="1:14">
      <c r="A41" s="28" t="s">
        <v>31</v>
      </c>
      <c r="B41" s="32" t="str">
        <f>sWGA!$D11</f>
        <v/>
      </c>
      <c r="C41" s="32" t="str">
        <f>sWGA!$D19</f>
        <v/>
      </c>
      <c r="D41" s="32" t="str">
        <f>sWGA!$D27</f>
        <v/>
      </c>
      <c r="E41" s="32" t="str">
        <f>sWGA!$D35</f>
        <v/>
      </c>
      <c r="F41" s="32" t="str">
        <f>sWGA!$D43</f>
        <v/>
      </c>
      <c r="G41" s="32" t="str">
        <f>sWGA!$D51</f>
        <v/>
      </c>
      <c r="H41" s="32" t="str">
        <f>sWGA!$D59</f>
        <v/>
      </c>
      <c r="I41" s="32" t="str">
        <f>sWGA!$D67</f>
        <v/>
      </c>
      <c r="J41" s="32" t="str">
        <f>sWGA!$D75</f>
        <v/>
      </c>
      <c r="K41" s="32" t="str">
        <f>sWGA!$D83</f>
        <v/>
      </c>
      <c r="L41" s="32" t="str">
        <f>sWGA!$D91</f>
        <v/>
      </c>
      <c r="M41" s="32" t="str">
        <f>sWGA!$D99</f>
        <v/>
      </c>
    </row>
    <row r="42" spans="1:1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4">
      <c r="B43" s="7"/>
    </row>
    <row r="44" spans="1:14">
      <c r="B44" s="7"/>
    </row>
  </sheetData>
  <sheetProtection sheet="1" objects="1" scenarios="1"/>
  <mergeCells count="63">
    <mergeCell ref="A1:M1"/>
    <mergeCell ref="G2:H2"/>
    <mergeCell ref="A3:B3"/>
    <mergeCell ref="A8:B8"/>
    <mergeCell ref="C2:F2"/>
    <mergeCell ref="C3:F3"/>
    <mergeCell ref="C7:F7"/>
    <mergeCell ref="C5:F5"/>
    <mergeCell ref="A2:B2"/>
    <mergeCell ref="A7:B7"/>
    <mergeCell ref="K5:L6"/>
    <mergeCell ref="A5:B5"/>
    <mergeCell ref="K2:L2"/>
    <mergeCell ref="K3:L3"/>
    <mergeCell ref="K4:L4"/>
    <mergeCell ref="C8:F8"/>
    <mergeCell ref="J26:K26"/>
    <mergeCell ref="J25:K25"/>
    <mergeCell ref="J22:K22"/>
    <mergeCell ref="J23:K23"/>
    <mergeCell ref="J24:K24"/>
    <mergeCell ref="J18:K18"/>
    <mergeCell ref="J19:K19"/>
    <mergeCell ref="J20:K20"/>
    <mergeCell ref="J21:K21"/>
    <mergeCell ref="C13:K14"/>
    <mergeCell ref="F18:G18"/>
    <mergeCell ref="D19:E19"/>
    <mergeCell ref="D20:E20"/>
    <mergeCell ref="D21:E21"/>
    <mergeCell ref="D24:E24"/>
    <mergeCell ref="A24:C24"/>
    <mergeCell ref="A23:C23"/>
    <mergeCell ref="C12:F12"/>
    <mergeCell ref="F19:G19"/>
    <mergeCell ref="F24:G24"/>
    <mergeCell ref="F23:G23"/>
    <mergeCell ref="D22:E22"/>
    <mergeCell ref="F20:G20"/>
    <mergeCell ref="F21:G21"/>
    <mergeCell ref="F22:G22"/>
    <mergeCell ref="A9:B9"/>
    <mergeCell ref="A19:C19"/>
    <mergeCell ref="C6:F6"/>
    <mergeCell ref="A6:B6"/>
    <mergeCell ref="A4:B4"/>
    <mergeCell ref="C4:F4"/>
    <mergeCell ref="F32:G32"/>
    <mergeCell ref="K27:M27"/>
    <mergeCell ref="K30:M30"/>
    <mergeCell ref="C9:H9"/>
    <mergeCell ref="A11:B11"/>
    <mergeCell ref="C11:F11"/>
    <mergeCell ref="D23:E23"/>
    <mergeCell ref="A22:C22"/>
    <mergeCell ref="A20:C20"/>
    <mergeCell ref="A21:C21"/>
    <mergeCell ref="A10:B10"/>
    <mergeCell ref="C10:F10"/>
    <mergeCell ref="A18:C18"/>
    <mergeCell ref="D18:E18"/>
    <mergeCell ref="K29:M29"/>
    <mergeCell ref="A29:J29"/>
  </mergeCells>
  <phoneticPr fontId="6" type="noConversion"/>
  <conditionalFormatting sqref="C2:C6 C10:C13">
    <cfRule type="expression" dxfId="5" priority="17">
      <formula>COUNTIF(C2,"")</formula>
    </cfRule>
  </conditionalFormatting>
  <conditionalFormatting sqref="D16 F32">
    <cfRule type="expression" dxfId="4" priority="3">
      <formula>COUNTIF(D16,"")</formula>
    </cfRule>
  </conditionalFormatting>
  <conditionalFormatting sqref="J19:L26">
    <cfRule type="expression" dxfId="3" priority="1">
      <formula>$J19="-"</formula>
    </cfRule>
  </conditionalFormatting>
  <conditionalFormatting sqref="K29:M31">
    <cfRule type="expression" dxfId="2" priority="2">
      <formula>LEN($K29)&gt;0</formula>
    </cfRule>
  </conditionalFormatting>
  <dataValidations count="2">
    <dataValidation allowBlank="1" showInputMessage="1" showErrorMessage="1" errorTitle="Experimental Aim" error="The aim must be 5-20 characters long as it is used to name folders downstream so can not be too verbose." sqref="C9:C10 C6:F6" xr:uid="{8A90D9D7-2B69-4155-9BC8-5F857BAE0376}"/>
    <dataValidation type="custom" allowBlank="1" showInputMessage="1" showErrorMessage="1" errorTitle="Incorrect Format" error="Exp Numbers should be three digits long" sqref="C5:F6" xr:uid="{28EB9DBE-45BF-4490-851B-C4C7A91C2B02}">
      <formula1>LEN(C5)=3</formula1>
    </dataValidation>
  </dataValidations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Footer>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ACFA1-87AC-4545-9963-95B02395023D}">
          <x14:formula1>
            <xm:f>Reference!$E$17:$E$18</xm:f>
          </x14:formula1>
          <xm:sqref>C11:F11</xm:sqref>
        </x14:dataValidation>
        <x14:dataValidation type="list" allowBlank="1" showInputMessage="1" showErrorMessage="1" xr:uid="{86445682-C78D-47C6-AF01-B66EAB718B57}">
          <x14:formula1>
            <xm:f>Reference!$E$56:$E$57</xm:f>
          </x14:formula1>
          <xm:sqref>F32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DBD4-8DAD-9140-A720-2E9A5B0F30FB}">
  <sheetPr codeName="Sheet2">
    <tabColor theme="9" tint="0.39997558519241921"/>
    <pageSetUpPr fitToPage="1"/>
  </sheetPr>
  <dimension ref="A1:K112"/>
  <sheetViews>
    <sheetView zoomScale="140" zoomScaleNormal="140" workbookViewId="0">
      <selection activeCell="E4" sqref="E4"/>
    </sheetView>
  </sheetViews>
  <sheetFormatPr defaultColWidth="11" defaultRowHeight="15.6"/>
  <cols>
    <col min="1" max="1" width="6.59765625" customWidth="1"/>
    <col min="2" max="2" width="6.59765625" hidden="1" customWidth="1"/>
    <col min="3" max="3" width="6.59765625" customWidth="1"/>
    <col min="4" max="4" width="6.59765625" hidden="1" customWidth="1"/>
    <col min="5" max="6" width="11.69921875" customWidth="1"/>
    <col min="7" max="7" width="13.5" style="1" customWidth="1"/>
    <col min="8" max="8" width="13.69921875" customWidth="1"/>
    <col min="9" max="9" width="14.69921875" customWidth="1"/>
    <col min="10" max="10" width="14.09765625" customWidth="1"/>
    <col min="11" max="11" width="14.59765625" customWidth="1"/>
  </cols>
  <sheetData>
    <row r="1" spans="1:11">
      <c r="E1" s="117" t="s">
        <v>203</v>
      </c>
      <c r="F1" s="118"/>
      <c r="G1" s="118"/>
    </row>
    <row r="2" spans="1:11">
      <c r="D2" s="114" t="s">
        <v>18</v>
      </c>
      <c r="E2" s="115"/>
      <c r="F2" s="115"/>
      <c r="G2" s="116"/>
      <c r="H2" s="113"/>
      <c r="I2" s="113"/>
      <c r="J2" s="113"/>
      <c r="K2" s="113"/>
    </row>
    <row r="3" spans="1:11" s="2" customFormat="1" ht="48.75" customHeight="1">
      <c r="A3" s="47" t="s">
        <v>33</v>
      </c>
      <c r="B3" s="47" t="s">
        <v>196</v>
      </c>
      <c r="C3" s="47" t="s">
        <v>130</v>
      </c>
      <c r="D3" s="39" t="s">
        <v>197</v>
      </c>
      <c r="E3" s="39" t="s">
        <v>5</v>
      </c>
      <c r="F3" s="40" t="s">
        <v>19</v>
      </c>
      <c r="G3" s="39" t="s">
        <v>183</v>
      </c>
      <c r="H3" s="41" t="s">
        <v>148</v>
      </c>
      <c r="I3" s="41" t="s">
        <v>150</v>
      </c>
      <c r="J3" s="41" t="s">
        <v>131</v>
      </c>
      <c r="K3" s="41" t="s">
        <v>149</v>
      </c>
    </row>
    <row r="4" spans="1:11" ht="15.75" customHeight="1">
      <c r="A4" s="49">
        <v>1</v>
      </c>
      <c r="B4" s="50" t="str">
        <f>RIGHT(tbl_sWGA[[#This Row],[Well]],LEN(tbl_sWGA[[#This Row],[Well]])-1)</f>
        <v>1</v>
      </c>
      <c r="C4" s="50" t="s">
        <v>34</v>
      </c>
      <c r="D4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4" s="30"/>
      <c r="F4" s="36"/>
      <c r="G4" s="30"/>
      <c r="H4" s="37"/>
      <c r="I4" s="37"/>
      <c r="J4" s="37"/>
      <c r="K4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5" spans="1:11" ht="15.75" customHeight="1">
      <c r="A5" s="49">
        <v>2</v>
      </c>
      <c r="B5" s="50" t="str">
        <f>RIGHT(tbl_sWGA[[#This Row],[Well]],LEN(tbl_sWGA[[#This Row],[Well]])-1)</f>
        <v>1</v>
      </c>
      <c r="C5" s="50" t="s">
        <v>46</v>
      </c>
      <c r="D5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5" s="30"/>
      <c r="F5" s="36"/>
      <c r="G5" s="30"/>
      <c r="H5" s="37"/>
      <c r="I5" s="37"/>
      <c r="J5" s="37"/>
      <c r="K5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6" spans="1:11" ht="15.75" customHeight="1">
      <c r="A6" s="49">
        <v>3</v>
      </c>
      <c r="B6" s="50" t="str">
        <f>RIGHT(tbl_sWGA[[#This Row],[Well]],LEN(tbl_sWGA[[#This Row],[Well]])-1)</f>
        <v>1</v>
      </c>
      <c r="C6" s="50" t="s">
        <v>55</v>
      </c>
      <c r="D6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6" s="30"/>
      <c r="F6" s="36"/>
      <c r="G6" s="30"/>
      <c r="H6" s="37"/>
      <c r="I6" s="37"/>
      <c r="J6" s="37"/>
      <c r="K6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7" spans="1:11" ht="15.75" customHeight="1">
      <c r="A7" s="49">
        <v>4</v>
      </c>
      <c r="B7" s="50" t="str">
        <f>RIGHT(tbl_sWGA[[#This Row],[Well]],LEN(tbl_sWGA[[#This Row],[Well]])-1)</f>
        <v>1</v>
      </c>
      <c r="C7" s="50" t="s">
        <v>57</v>
      </c>
      <c r="D7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7" s="30"/>
      <c r="F7" s="36"/>
      <c r="G7" s="30"/>
      <c r="H7" s="37"/>
      <c r="I7" s="37"/>
      <c r="J7" s="37"/>
      <c r="K7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8" spans="1:11" ht="15.75" customHeight="1">
      <c r="A8" s="49">
        <v>5</v>
      </c>
      <c r="B8" s="50" t="str">
        <f>RIGHT(tbl_sWGA[[#This Row],[Well]],LEN(tbl_sWGA[[#This Row],[Well]])-1)</f>
        <v>1</v>
      </c>
      <c r="C8" s="50" t="s">
        <v>59</v>
      </c>
      <c r="D8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8" s="30"/>
      <c r="F8" s="36"/>
      <c r="G8" s="30"/>
      <c r="H8" s="37"/>
      <c r="I8" s="37"/>
      <c r="J8" s="37"/>
      <c r="K8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9" spans="1:11" ht="15.75" customHeight="1">
      <c r="A9" s="49">
        <v>6</v>
      </c>
      <c r="B9" s="50" t="str">
        <f>RIGHT(tbl_sWGA[[#This Row],[Well]],LEN(tbl_sWGA[[#This Row],[Well]])-1)</f>
        <v>1</v>
      </c>
      <c r="C9" s="50" t="s">
        <v>60</v>
      </c>
      <c r="D9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9" s="30"/>
      <c r="F9" s="36"/>
      <c r="G9" s="30"/>
      <c r="H9" s="37"/>
      <c r="I9" s="37"/>
      <c r="J9" s="37"/>
      <c r="K9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10" spans="1:11" ht="15.75" customHeight="1">
      <c r="A10" s="49">
        <v>7</v>
      </c>
      <c r="B10" s="50" t="str">
        <f>RIGHT(tbl_sWGA[[#This Row],[Well]],LEN(tbl_sWGA[[#This Row],[Well]])-1)</f>
        <v>1</v>
      </c>
      <c r="C10" s="50" t="s">
        <v>61</v>
      </c>
      <c r="D10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10" s="30"/>
      <c r="F10" s="36"/>
      <c r="G10" s="30"/>
      <c r="H10" s="37"/>
      <c r="I10" s="37"/>
      <c r="J10" s="37"/>
      <c r="K10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11" spans="1:11" ht="15.75" customHeight="1" thickBot="1">
      <c r="A11" s="51">
        <v>8</v>
      </c>
      <c r="B11" s="67" t="str">
        <f>RIGHT(tbl_sWGA[[#This Row],[Well]],LEN(tbl_sWGA[[#This Row],[Well]])-1)</f>
        <v>1</v>
      </c>
      <c r="C11" s="67" t="s">
        <v>62</v>
      </c>
      <c r="D11" s="72" t="str">
        <f>IF(Assay!$F$32=Reference!$E$56,IF(LEN(tbl_sWGA[[#This Row],[Sample ID]])&gt;0,tbl_sWGA[[#This Row],[Sample ID]],""),IF(LEN(tbl_sWGA[[#This Row],[Extraction ID]])&gt;0,tbl_sWGA[[#This Row],[Extraction ID]],""))</f>
        <v/>
      </c>
      <c r="E11" s="68"/>
      <c r="F11" s="69"/>
      <c r="G11" s="68"/>
      <c r="H11" s="38"/>
      <c r="I11" s="38"/>
      <c r="J11" s="38"/>
      <c r="K11" s="22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12" spans="1:11" ht="15.75" customHeight="1">
      <c r="A12" s="55">
        <v>9</v>
      </c>
      <c r="B12" s="56" t="str">
        <f>RIGHT(tbl_sWGA[[#This Row],[Well]],LEN(tbl_sWGA[[#This Row],[Well]])-1)</f>
        <v>2</v>
      </c>
      <c r="C12" s="56" t="s">
        <v>35</v>
      </c>
      <c r="D12" s="73" t="str">
        <f>IF(Assay!$F$32=Reference!$E$56,IF(LEN(tbl_sWGA[[#This Row],[Sample ID]])&gt;0,tbl_sWGA[[#This Row],[Sample ID]],""),IF(LEN(tbl_sWGA[[#This Row],[Extraction ID]])&gt;0,tbl_sWGA[[#This Row],[Extraction ID]],""))</f>
        <v/>
      </c>
      <c r="E12" s="57"/>
      <c r="F12" s="58"/>
      <c r="G12" s="57"/>
      <c r="H12" s="57"/>
      <c r="I12" s="57"/>
      <c r="J12" s="57"/>
      <c r="K12" s="59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13" spans="1:11" ht="15.75" customHeight="1">
      <c r="A13" s="60">
        <v>10</v>
      </c>
      <c r="B13" s="50" t="str">
        <f>RIGHT(tbl_sWGA[[#This Row],[Well]],LEN(tbl_sWGA[[#This Row],[Well]])-1)</f>
        <v>2</v>
      </c>
      <c r="C13" s="50" t="s">
        <v>47</v>
      </c>
      <c r="D13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13" s="30"/>
      <c r="F13" s="36"/>
      <c r="G13" s="30"/>
      <c r="H13" s="37"/>
      <c r="I13" s="37"/>
      <c r="J13" s="37"/>
      <c r="K13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14" spans="1:11" ht="15.75" customHeight="1">
      <c r="A14" s="60">
        <v>11</v>
      </c>
      <c r="B14" s="50" t="str">
        <f>RIGHT(tbl_sWGA[[#This Row],[Well]],LEN(tbl_sWGA[[#This Row],[Well]])-1)</f>
        <v>2</v>
      </c>
      <c r="C14" s="50" t="s">
        <v>56</v>
      </c>
      <c r="D14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14" s="30"/>
      <c r="F14" s="36"/>
      <c r="G14" s="30"/>
      <c r="H14" s="37"/>
      <c r="I14" s="37"/>
      <c r="J14" s="37"/>
      <c r="K14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15" spans="1:11" ht="15.75" customHeight="1">
      <c r="A15" s="60">
        <v>12</v>
      </c>
      <c r="B15" s="50" t="str">
        <f>RIGHT(tbl_sWGA[[#This Row],[Well]],LEN(tbl_sWGA[[#This Row],[Well]])-1)</f>
        <v>2</v>
      </c>
      <c r="C15" s="50" t="s">
        <v>58</v>
      </c>
      <c r="D15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15" s="30"/>
      <c r="F15" s="36"/>
      <c r="G15" s="30"/>
      <c r="H15" s="37"/>
      <c r="I15" s="37"/>
      <c r="J15" s="37"/>
      <c r="K15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16" spans="1:11" ht="15.75" customHeight="1">
      <c r="A16" s="60">
        <v>13</v>
      </c>
      <c r="B16" s="50" t="str">
        <f>RIGHT(tbl_sWGA[[#This Row],[Well]],LEN(tbl_sWGA[[#This Row],[Well]])-1)</f>
        <v>2</v>
      </c>
      <c r="C16" s="50" t="s">
        <v>63</v>
      </c>
      <c r="D16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16" s="30"/>
      <c r="F16" s="36"/>
      <c r="G16" s="30"/>
      <c r="H16" s="37"/>
      <c r="I16" s="37"/>
      <c r="J16" s="37"/>
      <c r="K16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17" spans="1:11" ht="15.75" customHeight="1">
      <c r="A17" s="60">
        <v>14</v>
      </c>
      <c r="B17" s="50" t="str">
        <f>RIGHT(tbl_sWGA[[#This Row],[Well]],LEN(tbl_sWGA[[#This Row],[Well]])-1)</f>
        <v>2</v>
      </c>
      <c r="C17" s="50" t="s">
        <v>64</v>
      </c>
      <c r="D17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17" s="30"/>
      <c r="F17" s="36"/>
      <c r="G17" s="30"/>
      <c r="H17" s="37"/>
      <c r="I17" s="37"/>
      <c r="J17" s="37"/>
      <c r="K17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18" spans="1:11" ht="15.75" customHeight="1">
      <c r="A18" s="60">
        <v>15</v>
      </c>
      <c r="B18" s="50" t="str">
        <f>RIGHT(tbl_sWGA[[#This Row],[Well]],LEN(tbl_sWGA[[#This Row],[Well]])-1)</f>
        <v>2</v>
      </c>
      <c r="C18" s="50" t="s">
        <v>65</v>
      </c>
      <c r="D18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18" s="30"/>
      <c r="F18" s="36"/>
      <c r="G18" s="30"/>
      <c r="H18" s="37"/>
      <c r="I18" s="37"/>
      <c r="J18" s="37"/>
      <c r="K18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19" spans="1:11" ht="15.75" customHeight="1" thickBot="1">
      <c r="A19" s="61">
        <v>16</v>
      </c>
      <c r="B19" s="62" t="str">
        <f>RIGHT(tbl_sWGA[[#This Row],[Well]],LEN(tbl_sWGA[[#This Row],[Well]])-1)</f>
        <v>2</v>
      </c>
      <c r="C19" s="62" t="s">
        <v>66</v>
      </c>
      <c r="D19" s="74" t="str">
        <f>IF(Assay!$F$32=Reference!$E$56,IF(LEN(tbl_sWGA[[#This Row],[Sample ID]])&gt;0,tbl_sWGA[[#This Row],[Sample ID]],""),IF(LEN(tbl_sWGA[[#This Row],[Extraction ID]])&gt;0,tbl_sWGA[[#This Row],[Extraction ID]],""))</f>
        <v/>
      </c>
      <c r="E19" s="63"/>
      <c r="F19" s="64"/>
      <c r="G19" s="63"/>
      <c r="H19" s="65"/>
      <c r="I19" s="65"/>
      <c r="J19" s="65"/>
      <c r="K19" s="66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20" spans="1:11" ht="15.75" customHeight="1">
      <c r="A20" s="55">
        <v>17</v>
      </c>
      <c r="B20" s="56" t="str">
        <f>RIGHT(tbl_sWGA[[#This Row],[Well]],LEN(tbl_sWGA[[#This Row],[Well]])-1)</f>
        <v>3</v>
      </c>
      <c r="C20" s="56" t="s">
        <v>36</v>
      </c>
      <c r="D20" s="73" t="str">
        <f>IF(Assay!$F$32=Reference!$E$56,IF(LEN(tbl_sWGA[[#This Row],[Sample ID]])&gt;0,tbl_sWGA[[#This Row],[Sample ID]],""),IF(LEN(tbl_sWGA[[#This Row],[Extraction ID]])&gt;0,tbl_sWGA[[#This Row],[Extraction ID]],""))</f>
        <v/>
      </c>
      <c r="E20" s="57"/>
      <c r="F20" s="58"/>
      <c r="G20" s="57"/>
      <c r="H20" s="57"/>
      <c r="I20" s="57"/>
      <c r="J20" s="57"/>
      <c r="K20" s="59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21" spans="1:11" ht="15.75" customHeight="1">
      <c r="A21" s="60">
        <v>18</v>
      </c>
      <c r="B21" s="50" t="str">
        <f>RIGHT(tbl_sWGA[[#This Row],[Well]],LEN(tbl_sWGA[[#This Row],[Well]])-1)</f>
        <v>3</v>
      </c>
      <c r="C21" s="50" t="s">
        <v>48</v>
      </c>
      <c r="D21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21" s="30"/>
      <c r="F21" s="36"/>
      <c r="G21" s="30"/>
      <c r="H21" s="37"/>
      <c r="I21" s="37"/>
      <c r="J21" s="37"/>
      <c r="K21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22" spans="1:11" ht="15.75" customHeight="1">
      <c r="A22" s="60">
        <v>19</v>
      </c>
      <c r="B22" s="50" t="str">
        <f>RIGHT(tbl_sWGA[[#This Row],[Well]],LEN(tbl_sWGA[[#This Row],[Well]])-1)</f>
        <v>3</v>
      </c>
      <c r="C22" s="50" t="s">
        <v>67</v>
      </c>
      <c r="D22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22" s="30"/>
      <c r="F22" s="36"/>
      <c r="G22" s="30"/>
      <c r="H22" s="37"/>
      <c r="I22" s="37"/>
      <c r="J22" s="37"/>
      <c r="K22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23" spans="1:11" ht="15.75" customHeight="1">
      <c r="A23" s="60">
        <v>20</v>
      </c>
      <c r="B23" s="49" t="str">
        <f>RIGHT(tbl_sWGA[[#This Row],[Well]],LEN(tbl_sWGA[[#This Row],[Well]])-1)</f>
        <v>3</v>
      </c>
      <c r="C23" s="49" t="s">
        <v>68</v>
      </c>
      <c r="D23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23" s="30"/>
      <c r="F23" s="36"/>
      <c r="G23" s="30"/>
      <c r="H23" s="37"/>
      <c r="I23" s="37"/>
      <c r="J23" s="37"/>
      <c r="K23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24" spans="1:11" ht="15.75" customHeight="1">
      <c r="A24" s="60">
        <v>21</v>
      </c>
      <c r="B24" s="49" t="str">
        <f>RIGHT(tbl_sWGA[[#This Row],[Well]],LEN(tbl_sWGA[[#This Row],[Well]])-1)</f>
        <v>3</v>
      </c>
      <c r="C24" s="49" t="s">
        <v>69</v>
      </c>
      <c r="D24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24" s="30"/>
      <c r="F24" s="36"/>
      <c r="G24" s="30"/>
      <c r="H24" s="37"/>
      <c r="I24" s="37"/>
      <c r="J24" s="37"/>
      <c r="K24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25" spans="1:11" ht="15.75" customHeight="1">
      <c r="A25" s="60">
        <v>22</v>
      </c>
      <c r="B25" s="49" t="str">
        <f>RIGHT(tbl_sWGA[[#This Row],[Well]],LEN(tbl_sWGA[[#This Row],[Well]])-1)</f>
        <v>3</v>
      </c>
      <c r="C25" s="49" t="s">
        <v>70</v>
      </c>
      <c r="D25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25" s="30"/>
      <c r="F25" s="36"/>
      <c r="G25" s="30"/>
      <c r="H25" s="37"/>
      <c r="I25" s="37"/>
      <c r="J25" s="37"/>
      <c r="K25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26" spans="1:11" ht="15.75" customHeight="1">
      <c r="A26" s="60">
        <v>23</v>
      </c>
      <c r="B26" s="49" t="str">
        <f>RIGHT(tbl_sWGA[[#This Row],[Well]],LEN(tbl_sWGA[[#This Row],[Well]])-1)</f>
        <v>3</v>
      </c>
      <c r="C26" s="49" t="s">
        <v>71</v>
      </c>
      <c r="D26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26" s="30"/>
      <c r="F26" s="36"/>
      <c r="G26" s="30"/>
      <c r="H26" s="37"/>
      <c r="I26" s="37"/>
      <c r="J26" s="37"/>
      <c r="K26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27" spans="1:11" ht="15.75" customHeight="1" thickBot="1">
      <c r="A27" s="61">
        <v>24</v>
      </c>
      <c r="B27" s="70" t="str">
        <f>RIGHT(tbl_sWGA[[#This Row],[Well]],LEN(tbl_sWGA[[#This Row],[Well]])-1)</f>
        <v>3</v>
      </c>
      <c r="C27" s="70" t="s">
        <v>72</v>
      </c>
      <c r="D27" s="74" t="str">
        <f>IF(Assay!$F$32=Reference!$E$56,IF(LEN(tbl_sWGA[[#This Row],[Sample ID]])&gt;0,tbl_sWGA[[#This Row],[Sample ID]],""),IF(LEN(tbl_sWGA[[#This Row],[Extraction ID]])&gt;0,tbl_sWGA[[#This Row],[Extraction ID]],""))</f>
        <v/>
      </c>
      <c r="E27" s="63"/>
      <c r="F27" s="64"/>
      <c r="G27" s="63"/>
      <c r="H27" s="65"/>
      <c r="I27" s="65"/>
      <c r="J27" s="65"/>
      <c r="K27" s="66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28" spans="1:11" ht="15.75" customHeight="1">
      <c r="A28" s="55">
        <v>25</v>
      </c>
      <c r="B28" s="56" t="str">
        <f>RIGHT(tbl_sWGA[[#This Row],[Well]],LEN(tbl_sWGA[[#This Row],[Well]])-1)</f>
        <v>4</v>
      </c>
      <c r="C28" s="56" t="s">
        <v>37</v>
      </c>
      <c r="D28" s="73" t="str">
        <f>IF(Assay!$F$32=Reference!$E$56,IF(LEN(tbl_sWGA[[#This Row],[Sample ID]])&gt;0,tbl_sWGA[[#This Row],[Sample ID]],""),IF(LEN(tbl_sWGA[[#This Row],[Extraction ID]])&gt;0,tbl_sWGA[[#This Row],[Extraction ID]],""))</f>
        <v/>
      </c>
      <c r="E28" s="57"/>
      <c r="F28" s="58"/>
      <c r="G28" s="57"/>
      <c r="H28" s="57"/>
      <c r="I28" s="57"/>
      <c r="J28" s="57"/>
      <c r="K28" s="59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29" spans="1:11" ht="15.75" customHeight="1">
      <c r="A29" s="60">
        <v>26</v>
      </c>
      <c r="B29" s="49" t="str">
        <f>RIGHT(tbl_sWGA[[#This Row],[Well]],LEN(tbl_sWGA[[#This Row],[Well]])-1)</f>
        <v>4</v>
      </c>
      <c r="C29" s="49" t="s">
        <v>49</v>
      </c>
      <c r="D29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29" s="30"/>
      <c r="F29" s="36"/>
      <c r="G29" s="30"/>
      <c r="H29" s="37"/>
      <c r="I29" s="37"/>
      <c r="J29" s="37"/>
      <c r="K29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30" spans="1:11" ht="15.75" customHeight="1">
      <c r="A30" s="60">
        <v>27</v>
      </c>
      <c r="B30" s="49" t="str">
        <f>RIGHT(tbl_sWGA[[#This Row],[Well]],LEN(tbl_sWGA[[#This Row],[Well]])-1)</f>
        <v>4</v>
      </c>
      <c r="C30" s="49" t="s">
        <v>73</v>
      </c>
      <c r="D30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30" s="30"/>
      <c r="F30" s="36"/>
      <c r="G30" s="30"/>
      <c r="H30" s="37"/>
      <c r="I30" s="37"/>
      <c r="J30" s="37"/>
      <c r="K30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31" spans="1:11" ht="15.75" customHeight="1">
      <c r="A31" s="60">
        <v>28</v>
      </c>
      <c r="B31" s="49" t="str">
        <f>RIGHT(tbl_sWGA[[#This Row],[Well]],LEN(tbl_sWGA[[#This Row],[Well]])-1)</f>
        <v>4</v>
      </c>
      <c r="C31" s="49" t="s">
        <v>74</v>
      </c>
      <c r="D31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31" s="30"/>
      <c r="F31" s="36"/>
      <c r="G31" s="30"/>
      <c r="H31" s="37"/>
      <c r="I31" s="37"/>
      <c r="J31" s="37"/>
      <c r="K31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32" spans="1:11" ht="15.75" customHeight="1">
      <c r="A32" s="60">
        <v>29</v>
      </c>
      <c r="B32" s="49" t="str">
        <f>RIGHT(tbl_sWGA[[#This Row],[Well]],LEN(tbl_sWGA[[#This Row],[Well]])-1)</f>
        <v>4</v>
      </c>
      <c r="C32" s="49" t="s">
        <v>75</v>
      </c>
      <c r="D32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32" s="30"/>
      <c r="F32" s="36"/>
      <c r="G32" s="30"/>
      <c r="H32" s="37"/>
      <c r="I32" s="37"/>
      <c r="J32" s="37"/>
      <c r="K32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33" spans="1:11" ht="15.75" customHeight="1">
      <c r="A33" s="60">
        <v>30</v>
      </c>
      <c r="B33" s="49" t="str">
        <f>RIGHT(tbl_sWGA[[#This Row],[Well]],LEN(tbl_sWGA[[#This Row],[Well]])-1)</f>
        <v>4</v>
      </c>
      <c r="C33" s="49" t="s">
        <v>76</v>
      </c>
      <c r="D33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33" s="30"/>
      <c r="F33" s="36"/>
      <c r="G33" s="30"/>
      <c r="H33" s="37"/>
      <c r="I33" s="37"/>
      <c r="J33" s="37"/>
      <c r="K33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34" spans="1:11" ht="15.75" customHeight="1">
      <c r="A34" s="60">
        <v>31</v>
      </c>
      <c r="B34" s="49" t="str">
        <f>RIGHT(tbl_sWGA[[#This Row],[Well]],LEN(tbl_sWGA[[#This Row],[Well]])-1)</f>
        <v>4</v>
      </c>
      <c r="C34" s="49" t="s">
        <v>77</v>
      </c>
      <c r="D34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34" s="30"/>
      <c r="F34" s="36"/>
      <c r="G34" s="30"/>
      <c r="H34" s="37"/>
      <c r="I34" s="37"/>
      <c r="J34" s="37"/>
      <c r="K34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35" spans="1:11" ht="15.75" customHeight="1" thickBot="1">
      <c r="A35" s="61">
        <v>32</v>
      </c>
      <c r="B35" s="70" t="str">
        <f>RIGHT(tbl_sWGA[[#This Row],[Well]],LEN(tbl_sWGA[[#This Row],[Well]])-1)</f>
        <v>4</v>
      </c>
      <c r="C35" s="70" t="s">
        <v>78</v>
      </c>
      <c r="D35" s="74" t="str">
        <f>IF(Assay!$F$32=Reference!$E$56,IF(LEN(tbl_sWGA[[#This Row],[Sample ID]])&gt;0,tbl_sWGA[[#This Row],[Sample ID]],""),IF(LEN(tbl_sWGA[[#This Row],[Extraction ID]])&gt;0,tbl_sWGA[[#This Row],[Extraction ID]],""))</f>
        <v/>
      </c>
      <c r="E35" s="63"/>
      <c r="F35" s="64"/>
      <c r="G35" s="63"/>
      <c r="H35" s="65"/>
      <c r="I35" s="65"/>
      <c r="J35" s="65"/>
      <c r="K35" s="66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36" spans="1:11" ht="15.75" customHeight="1">
      <c r="A36" s="55">
        <v>33</v>
      </c>
      <c r="B36" s="56" t="str">
        <f>RIGHT(tbl_sWGA[[#This Row],[Well]],LEN(tbl_sWGA[[#This Row],[Well]])-1)</f>
        <v>5</v>
      </c>
      <c r="C36" s="56" t="s">
        <v>38</v>
      </c>
      <c r="D36" s="73" t="str">
        <f>IF(Assay!$F$32=Reference!$E$56,IF(LEN(tbl_sWGA[[#This Row],[Sample ID]])&gt;0,tbl_sWGA[[#This Row],[Sample ID]],""),IF(LEN(tbl_sWGA[[#This Row],[Extraction ID]])&gt;0,tbl_sWGA[[#This Row],[Extraction ID]],""))</f>
        <v/>
      </c>
      <c r="E36" s="57"/>
      <c r="F36" s="58"/>
      <c r="G36" s="57"/>
      <c r="H36" s="57"/>
      <c r="I36" s="57"/>
      <c r="J36" s="57"/>
      <c r="K36" s="59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37" spans="1:11" ht="15.75" customHeight="1">
      <c r="A37" s="60">
        <v>34</v>
      </c>
      <c r="B37" s="49" t="str">
        <f>RIGHT(tbl_sWGA[[#This Row],[Well]],LEN(tbl_sWGA[[#This Row],[Well]])-1)</f>
        <v>5</v>
      </c>
      <c r="C37" s="49" t="s">
        <v>50</v>
      </c>
      <c r="D37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37" s="30"/>
      <c r="F37" s="36"/>
      <c r="G37" s="30"/>
      <c r="H37" s="37"/>
      <c r="I37" s="37"/>
      <c r="J37" s="37"/>
      <c r="K37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38" spans="1:11" ht="15.75" customHeight="1">
      <c r="A38" s="60">
        <v>35</v>
      </c>
      <c r="B38" s="49" t="str">
        <f>RIGHT(tbl_sWGA[[#This Row],[Well]],LEN(tbl_sWGA[[#This Row],[Well]])-1)</f>
        <v>5</v>
      </c>
      <c r="C38" s="49" t="s">
        <v>79</v>
      </c>
      <c r="D38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38" s="30"/>
      <c r="F38" s="36"/>
      <c r="G38" s="30"/>
      <c r="H38" s="37"/>
      <c r="I38" s="37"/>
      <c r="J38" s="37"/>
      <c r="K38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39" spans="1:11" ht="15.75" customHeight="1">
      <c r="A39" s="60">
        <v>36</v>
      </c>
      <c r="B39" s="49" t="str">
        <f>RIGHT(tbl_sWGA[[#This Row],[Well]],LEN(tbl_sWGA[[#This Row],[Well]])-1)</f>
        <v>5</v>
      </c>
      <c r="C39" s="49" t="s">
        <v>80</v>
      </c>
      <c r="D39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39" s="30"/>
      <c r="F39" s="36"/>
      <c r="G39" s="30"/>
      <c r="H39" s="37"/>
      <c r="I39" s="37"/>
      <c r="J39" s="37"/>
      <c r="K39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40" spans="1:11" ht="15.75" customHeight="1">
      <c r="A40" s="60">
        <v>37</v>
      </c>
      <c r="B40" s="49" t="str">
        <f>RIGHT(tbl_sWGA[[#This Row],[Well]],LEN(tbl_sWGA[[#This Row],[Well]])-1)</f>
        <v>5</v>
      </c>
      <c r="C40" s="49" t="s">
        <v>81</v>
      </c>
      <c r="D40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40" s="30"/>
      <c r="F40" s="36"/>
      <c r="G40" s="30"/>
      <c r="H40" s="37"/>
      <c r="I40" s="37"/>
      <c r="J40" s="37"/>
      <c r="K40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41" spans="1:11" ht="15.75" customHeight="1">
      <c r="A41" s="60">
        <v>38</v>
      </c>
      <c r="B41" s="49" t="str">
        <f>RIGHT(tbl_sWGA[[#This Row],[Well]],LEN(tbl_sWGA[[#This Row],[Well]])-1)</f>
        <v>5</v>
      </c>
      <c r="C41" s="49" t="s">
        <v>82</v>
      </c>
      <c r="D41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41" s="30"/>
      <c r="F41" s="36"/>
      <c r="G41" s="30"/>
      <c r="H41" s="37"/>
      <c r="I41" s="37"/>
      <c r="J41" s="37"/>
      <c r="K41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42" spans="1:11" ht="15.75" customHeight="1">
      <c r="A42" s="60">
        <v>39</v>
      </c>
      <c r="B42" s="49" t="str">
        <f>RIGHT(tbl_sWGA[[#This Row],[Well]],LEN(tbl_sWGA[[#This Row],[Well]])-1)</f>
        <v>5</v>
      </c>
      <c r="C42" s="49" t="s">
        <v>83</v>
      </c>
      <c r="D42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42" s="30"/>
      <c r="F42" s="36"/>
      <c r="G42" s="30"/>
      <c r="H42" s="37"/>
      <c r="I42" s="37"/>
      <c r="J42" s="37"/>
      <c r="K42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43" spans="1:11" ht="15.75" customHeight="1" thickBot="1">
      <c r="A43" s="61">
        <v>40</v>
      </c>
      <c r="B43" s="70" t="str">
        <f>RIGHT(tbl_sWGA[[#This Row],[Well]],LEN(tbl_sWGA[[#This Row],[Well]])-1)</f>
        <v>5</v>
      </c>
      <c r="C43" s="70" t="s">
        <v>84</v>
      </c>
      <c r="D43" s="74" t="str">
        <f>IF(Assay!$F$32=Reference!$E$56,IF(LEN(tbl_sWGA[[#This Row],[Sample ID]])&gt;0,tbl_sWGA[[#This Row],[Sample ID]],""),IF(LEN(tbl_sWGA[[#This Row],[Extraction ID]])&gt;0,tbl_sWGA[[#This Row],[Extraction ID]],""))</f>
        <v/>
      </c>
      <c r="E43" s="63"/>
      <c r="F43" s="64"/>
      <c r="G43" s="63"/>
      <c r="H43" s="65"/>
      <c r="I43" s="65"/>
      <c r="J43" s="65"/>
      <c r="K43" s="66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44" spans="1:11" ht="15.75" customHeight="1">
      <c r="A44" s="55">
        <v>41</v>
      </c>
      <c r="B44" s="56" t="str">
        <f>RIGHT(tbl_sWGA[[#This Row],[Well]],LEN(tbl_sWGA[[#This Row],[Well]])-1)</f>
        <v>6</v>
      </c>
      <c r="C44" s="56" t="s">
        <v>39</v>
      </c>
      <c r="D44" s="73" t="str">
        <f>IF(Assay!$F$32=Reference!$E$56,IF(LEN(tbl_sWGA[[#This Row],[Sample ID]])&gt;0,tbl_sWGA[[#This Row],[Sample ID]],""),IF(LEN(tbl_sWGA[[#This Row],[Extraction ID]])&gt;0,tbl_sWGA[[#This Row],[Extraction ID]],""))</f>
        <v/>
      </c>
      <c r="E44" s="57"/>
      <c r="F44" s="58"/>
      <c r="G44" s="57"/>
      <c r="H44" s="57"/>
      <c r="I44" s="57"/>
      <c r="J44" s="57"/>
      <c r="K44" s="59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45" spans="1:11" ht="15.75" customHeight="1">
      <c r="A45" s="60">
        <v>42</v>
      </c>
      <c r="B45" s="49" t="str">
        <f>RIGHT(tbl_sWGA[[#This Row],[Well]],LEN(tbl_sWGA[[#This Row],[Well]])-1)</f>
        <v>6</v>
      </c>
      <c r="C45" s="49" t="s">
        <v>51</v>
      </c>
      <c r="D45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45" s="30"/>
      <c r="F45" s="36"/>
      <c r="G45" s="30"/>
      <c r="H45" s="37"/>
      <c r="I45" s="37"/>
      <c r="J45" s="37"/>
      <c r="K45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46" spans="1:11" ht="15.75" customHeight="1">
      <c r="A46" s="60">
        <v>43</v>
      </c>
      <c r="B46" s="49" t="str">
        <f>RIGHT(tbl_sWGA[[#This Row],[Well]],LEN(tbl_sWGA[[#This Row],[Well]])-1)</f>
        <v>6</v>
      </c>
      <c r="C46" s="49" t="s">
        <v>85</v>
      </c>
      <c r="D46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46" s="30"/>
      <c r="F46" s="36"/>
      <c r="G46" s="30"/>
      <c r="H46" s="37"/>
      <c r="I46" s="37"/>
      <c r="J46" s="37"/>
      <c r="K46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47" spans="1:11" ht="15.75" customHeight="1">
      <c r="A47" s="60">
        <v>44</v>
      </c>
      <c r="B47" s="49" t="str">
        <f>RIGHT(tbl_sWGA[[#This Row],[Well]],LEN(tbl_sWGA[[#This Row],[Well]])-1)</f>
        <v>6</v>
      </c>
      <c r="C47" s="49" t="s">
        <v>86</v>
      </c>
      <c r="D47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47" s="30"/>
      <c r="F47" s="36"/>
      <c r="G47" s="30"/>
      <c r="H47" s="37"/>
      <c r="I47" s="37"/>
      <c r="J47" s="37"/>
      <c r="K47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48" spans="1:11" ht="15.75" customHeight="1">
      <c r="A48" s="60">
        <v>45</v>
      </c>
      <c r="B48" s="49" t="str">
        <f>RIGHT(tbl_sWGA[[#This Row],[Well]],LEN(tbl_sWGA[[#This Row],[Well]])-1)</f>
        <v>6</v>
      </c>
      <c r="C48" s="49" t="s">
        <v>87</v>
      </c>
      <c r="D48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48" s="30"/>
      <c r="F48" s="36"/>
      <c r="G48" s="30"/>
      <c r="H48" s="37"/>
      <c r="I48" s="37"/>
      <c r="J48" s="37"/>
      <c r="K48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49" spans="1:11" ht="15.75" customHeight="1">
      <c r="A49" s="60">
        <v>46</v>
      </c>
      <c r="B49" s="49" t="str">
        <f>RIGHT(tbl_sWGA[[#This Row],[Well]],LEN(tbl_sWGA[[#This Row],[Well]])-1)</f>
        <v>6</v>
      </c>
      <c r="C49" s="49" t="s">
        <v>88</v>
      </c>
      <c r="D49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49" s="30"/>
      <c r="F49" s="36"/>
      <c r="G49" s="30"/>
      <c r="H49" s="37"/>
      <c r="I49" s="37"/>
      <c r="J49" s="37"/>
      <c r="K49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50" spans="1:11" ht="15.75" customHeight="1">
      <c r="A50" s="60">
        <v>47</v>
      </c>
      <c r="B50" s="49" t="str">
        <f>RIGHT(tbl_sWGA[[#This Row],[Well]],LEN(tbl_sWGA[[#This Row],[Well]])-1)</f>
        <v>6</v>
      </c>
      <c r="C50" s="49" t="s">
        <v>89</v>
      </c>
      <c r="D50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50" s="30"/>
      <c r="F50" s="36"/>
      <c r="G50" s="30"/>
      <c r="H50" s="37"/>
      <c r="I50" s="37"/>
      <c r="J50" s="37"/>
      <c r="K50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51" spans="1:11" ht="15.75" customHeight="1" thickBot="1">
      <c r="A51" s="61">
        <v>48</v>
      </c>
      <c r="B51" s="70" t="str">
        <f>RIGHT(tbl_sWGA[[#This Row],[Well]],LEN(tbl_sWGA[[#This Row],[Well]])-1)</f>
        <v>6</v>
      </c>
      <c r="C51" s="70" t="s">
        <v>90</v>
      </c>
      <c r="D51" s="74" t="str">
        <f>IF(Assay!$F$32=Reference!$E$56,IF(LEN(tbl_sWGA[[#This Row],[Sample ID]])&gt;0,tbl_sWGA[[#This Row],[Sample ID]],""),IF(LEN(tbl_sWGA[[#This Row],[Extraction ID]])&gt;0,tbl_sWGA[[#This Row],[Extraction ID]],""))</f>
        <v/>
      </c>
      <c r="E51" s="63"/>
      <c r="F51" s="64"/>
      <c r="G51" s="63"/>
      <c r="H51" s="65"/>
      <c r="I51" s="65"/>
      <c r="J51" s="65"/>
      <c r="K51" s="66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52" spans="1:11" ht="15.75" customHeight="1">
      <c r="A52" s="55">
        <v>49</v>
      </c>
      <c r="B52" s="56" t="str">
        <f>RIGHT(tbl_sWGA[[#This Row],[Well]],LEN(tbl_sWGA[[#This Row],[Well]])-1)</f>
        <v>7</v>
      </c>
      <c r="C52" s="56" t="s">
        <v>40</v>
      </c>
      <c r="D52" s="73" t="str">
        <f>IF(Assay!$F$32=Reference!$E$56,IF(LEN(tbl_sWGA[[#This Row],[Sample ID]])&gt;0,tbl_sWGA[[#This Row],[Sample ID]],""),IF(LEN(tbl_sWGA[[#This Row],[Extraction ID]])&gt;0,tbl_sWGA[[#This Row],[Extraction ID]],""))</f>
        <v/>
      </c>
      <c r="E52" s="57"/>
      <c r="F52" s="58"/>
      <c r="G52" s="57"/>
      <c r="H52" s="57"/>
      <c r="I52" s="57"/>
      <c r="J52" s="57"/>
      <c r="K52" s="59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53" spans="1:11" ht="15.75" customHeight="1">
      <c r="A53" s="60">
        <v>50</v>
      </c>
      <c r="B53" s="49" t="str">
        <f>RIGHT(tbl_sWGA[[#This Row],[Well]],LEN(tbl_sWGA[[#This Row],[Well]])-1)</f>
        <v>7</v>
      </c>
      <c r="C53" s="49" t="s">
        <v>52</v>
      </c>
      <c r="D53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53" s="30"/>
      <c r="F53" s="36"/>
      <c r="G53" s="30"/>
      <c r="H53" s="37"/>
      <c r="I53" s="37"/>
      <c r="J53" s="37"/>
      <c r="K53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54" spans="1:11" ht="15.75" customHeight="1">
      <c r="A54" s="60">
        <v>51</v>
      </c>
      <c r="B54" s="49" t="str">
        <f>RIGHT(tbl_sWGA[[#This Row],[Well]],LEN(tbl_sWGA[[#This Row],[Well]])-1)</f>
        <v>7</v>
      </c>
      <c r="C54" s="49" t="s">
        <v>91</v>
      </c>
      <c r="D54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54" s="30"/>
      <c r="F54" s="36"/>
      <c r="G54" s="30"/>
      <c r="H54" s="37"/>
      <c r="I54" s="37"/>
      <c r="J54" s="37"/>
      <c r="K54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55" spans="1:11" ht="15.75" customHeight="1">
      <c r="A55" s="60">
        <v>52</v>
      </c>
      <c r="B55" s="49" t="str">
        <f>RIGHT(tbl_sWGA[[#This Row],[Well]],LEN(tbl_sWGA[[#This Row],[Well]])-1)</f>
        <v>7</v>
      </c>
      <c r="C55" s="49" t="s">
        <v>92</v>
      </c>
      <c r="D55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55" s="30"/>
      <c r="F55" s="36"/>
      <c r="G55" s="30"/>
      <c r="H55" s="37"/>
      <c r="I55" s="37"/>
      <c r="J55" s="37"/>
      <c r="K55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56" spans="1:11" ht="15.75" customHeight="1">
      <c r="A56" s="60">
        <v>53</v>
      </c>
      <c r="B56" s="49" t="str">
        <f>RIGHT(tbl_sWGA[[#This Row],[Well]],LEN(tbl_sWGA[[#This Row],[Well]])-1)</f>
        <v>7</v>
      </c>
      <c r="C56" s="49" t="s">
        <v>93</v>
      </c>
      <c r="D56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56" s="30"/>
      <c r="F56" s="36"/>
      <c r="G56" s="30"/>
      <c r="H56" s="37"/>
      <c r="I56" s="37"/>
      <c r="J56" s="37"/>
      <c r="K56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57" spans="1:11" ht="15.75" customHeight="1">
      <c r="A57" s="60">
        <v>54</v>
      </c>
      <c r="B57" s="49" t="str">
        <f>RIGHT(tbl_sWGA[[#This Row],[Well]],LEN(tbl_sWGA[[#This Row],[Well]])-1)</f>
        <v>7</v>
      </c>
      <c r="C57" s="49" t="s">
        <v>94</v>
      </c>
      <c r="D57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57" s="30"/>
      <c r="F57" s="36"/>
      <c r="G57" s="30"/>
      <c r="H57" s="37"/>
      <c r="I57" s="37"/>
      <c r="J57" s="37"/>
      <c r="K57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58" spans="1:11" ht="15.75" customHeight="1">
      <c r="A58" s="60">
        <v>55</v>
      </c>
      <c r="B58" s="49" t="str">
        <f>RIGHT(tbl_sWGA[[#This Row],[Well]],LEN(tbl_sWGA[[#This Row],[Well]])-1)</f>
        <v>7</v>
      </c>
      <c r="C58" s="49" t="s">
        <v>95</v>
      </c>
      <c r="D58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58" s="30"/>
      <c r="F58" s="36"/>
      <c r="G58" s="30"/>
      <c r="H58" s="37"/>
      <c r="I58" s="37"/>
      <c r="J58" s="37"/>
      <c r="K58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59" spans="1:11" ht="15.75" customHeight="1" thickBot="1">
      <c r="A59" s="61">
        <v>56</v>
      </c>
      <c r="B59" s="70" t="str">
        <f>RIGHT(tbl_sWGA[[#This Row],[Well]],LEN(tbl_sWGA[[#This Row],[Well]])-1)</f>
        <v>7</v>
      </c>
      <c r="C59" s="70" t="s">
        <v>96</v>
      </c>
      <c r="D59" s="74" t="str">
        <f>IF(Assay!$F$32=Reference!$E$56,IF(LEN(tbl_sWGA[[#This Row],[Sample ID]])&gt;0,tbl_sWGA[[#This Row],[Sample ID]],""),IF(LEN(tbl_sWGA[[#This Row],[Extraction ID]])&gt;0,tbl_sWGA[[#This Row],[Extraction ID]],""))</f>
        <v/>
      </c>
      <c r="E59" s="63"/>
      <c r="F59" s="64"/>
      <c r="G59" s="63"/>
      <c r="H59" s="65"/>
      <c r="I59" s="65"/>
      <c r="J59" s="65"/>
      <c r="K59" s="66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60" spans="1:11" ht="15.75" customHeight="1">
      <c r="A60" s="55">
        <v>57</v>
      </c>
      <c r="B60" s="56" t="str">
        <f>RIGHT(tbl_sWGA[[#This Row],[Well]],LEN(tbl_sWGA[[#This Row],[Well]])-1)</f>
        <v>8</v>
      </c>
      <c r="C60" s="56" t="s">
        <v>41</v>
      </c>
      <c r="D60" s="73" t="str">
        <f>IF(Assay!$F$32=Reference!$E$56,IF(LEN(tbl_sWGA[[#This Row],[Sample ID]])&gt;0,tbl_sWGA[[#This Row],[Sample ID]],""),IF(LEN(tbl_sWGA[[#This Row],[Extraction ID]])&gt;0,tbl_sWGA[[#This Row],[Extraction ID]],""))</f>
        <v/>
      </c>
      <c r="E60" s="57"/>
      <c r="F60" s="58"/>
      <c r="G60" s="57"/>
      <c r="H60" s="57"/>
      <c r="I60" s="57"/>
      <c r="J60" s="57"/>
      <c r="K60" s="59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61" spans="1:11" ht="15.75" customHeight="1">
      <c r="A61" s="60">
        <v>58</v>
      </c>
      <c r="B61" s="49" t="str">
        <f>RIGHT(tbl_sWGA[[#This Row],[Well]],LEN(tbl_sWGA[[#This Row],[Well]])-1)</f>
        <v>8</v>
      </c>
      <c r="C61" s="49" t="s">
        <v>53</v>
      </c>
      <c r="D61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61" s="30"/>
      <c r="F61" s="36"/>
      <c r="G61" s="30"/>
      <c r="H61" s="37"/>
      <c r="I61" s="37"/>
      <c r="J61" s="37"/>
      <c r="K61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62" spans="1:11" ht="15.75" customHeight="1">
      <c r="A62" s="60">
        <v>59</v>
      </c>
      <c r="B62" s="49" t="str">
        <f>RIGHT(tbl_sWGA[[#This Row],[Well]],LEN(tbl_sWGA[[#This Row],[Well]])-1)</f>
        <v>8</v>
      </c>
      <c r="C62" s="49" t="s">
        <v>97</v>
      </c>
      <c r="D62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62" s="30"/>
      <c r="F62" s="36"/>
      <c r="G62" s="30"/>
      <c r="H62" s="37"/>
      <c r="I62" s="37"/>
      <c r="J62" s="37"/>
      <c r="K62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63" spans="1:11" ht="15.75" customHeight="1">
      <c r="A63" s="60">
        <v>60</v>
      </c>
      <c r="B63" s="49" t="str">
        <f>RIGHT(tbl_sWGA[[#This Row],[Well]],LEN(tbl_sWGA[[#This Row],[Well]])-1)</f>
        <v>8</v>
      </c>
      <c r="C63" s="49" t="s">
        <v>98</v>
      </c>
      <c r="D63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63" s="30"/>
      <c r="F63" s="36"/>
      <c r="G63" s="30"/>
      <c r="H63" s="37"/>
      <c r="I63" s="37"/>
      <c r="J63" s="37"/>
      <c r="K63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64" spans="1:11" ht="15.75" customHeight="1">
      <c r="A64" s="60">
        <v>61</v>
      </c>
      <c r="B64" s="49" t="str">
        <f>RIGHT(tbl_sWGA[[#This Row],[Well]],LEN(tbl_sWGA[[#This Row],[Well]])-1)</f>
        <v>8</v>
      </c>
      <c r="C64" s="49" t="s">
        <v>99</v>
      </c>
      <c r="D64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64" s="30"/>
      <c r="F64" s="36"/>
      <c r="G64" s="30"/>
      <c r="H64" s="37"/>
      <c r="I64" s="37"/>
      <c r="J64" s="37"/>
      <c r="K64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65" spans="1:11" ht="15.75" customHeight="1">
      <c r="A65" s="60">
        <v>62</v>
      </c>
      <c r="B65" s="49" t="str">
        <f>RIGHT(tbl_sWGA[[#This Row],[Well]],LEN(tbl_sWGA[[#This Row],[Well]])-1)</f>
        <v>8</v>
      </c>
      <c r="C65" s="49" t="s">
        <v>100</v>
      </c>
      <c r="D65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65" s="30"/>
      <c r="F65" s="36"/>
      <c r="G65" s="30"/>
      <c r="H65" s="37"/>
      <c r="I65" s="37"/>
      <c r="J65" s="37"/>
      <c r="K65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66" spans="1:11" ht="15.75" customHeight="1">
      <c r="A66" s="60">
        <v>63</v>
      </c>
      <c r="B66" s="49" t="str">
        <f>RIGHT(tbl_sWGA[[#This Row],[Well]],LEN(tbl_sWGA[[#This Row],[Well]])-1)</f>
        <v>8</v>
      </c>
      <c r="C66" s="49" t="s">
        <v>101</v>
      </c>
      <c r="D66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66" s="30"/>
      <c r="F66" s="36"/>
      <c r="G66" s="30"/>
      <c r="H66" s="37"/>
      <c r="I66" s="37"/>
      <c r="J66" s="37"/>
      <c r="K66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67" spans="1:11" ht="15.75" customHeight="1" thickBot="1">
      <c r="A67" s="61">
        <v>64</v>
      </c>
      <c r="B67" s="70" t="str">
        <f>RIGHT(tbl_sWGA[[#This Row],[Well]],LEN(tbl_sWGA[[#This Row],[Well]])-1)</f>
        <v>8</v>
      </c>
      <c r="C67" s="70" t="s">
        <v>102</v>
      </c>
      <c r="D67" s="74" t="str">
        <f>IF(Assay!$F$32=Reference!$E$56,IF(LEN(tbl_sWGA[[#This Row],[Sample ID]])&gt;0,tbl_sWGA[[#This Row],[Sample ID]],""),IF(LEN(tbl_sWGA[[#This Row],[Extraction ID]])&gt;0,tbl_sWGA[[#This Row],[Extraction ID]],""))</f>
        <v/>
      </c>
      <c r="E67" s="63"/>
      <c r="F67" s="64"/>
      <c r="G67" s="63"/>
      <c r="H67" s="65"/>
      <c r="I67" s="65"/>
      <c r="J67" s="65"/>
      <c r="K67" s="66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68" spans="1:11" ht="15.75" customHeight="1">
      <c r="A68" s="55">
        <v>65</v>
      </c>
      <c r="B68" s="56" t="str">
        <f>RIGHT(tbl_sWGA[[#This Row],[Well]],LEN(tbl_sWGA[[#This Row],[Well]])-1)</f>
        <v>9</v>
      </c>
      <c r="C68" s="56" t="s">
        <v>42</v>
      </c>
      <c r="D68" s="73" t="str">
        <f>IF(Assay!$F$32=Reference!$E$56,IF(LEN(tbl_sWGA[[#This Row],[Sample ID]])&gt;0,tbl_sWGA[[#This Row],[Sample ID]],""),IF(LEN(tbl_sWGA[[#This Row],[Extraction ID]])&gt;0,tbl_sWGA[[#This Row],[Extraction ID]],""))</f>
        <v/>
      </c>
      <c r="E68" s="57"/>
      <c r="F68" s="58"/>
      <c r="G68" s="57"/>
      <c r="H68" s="57"/>
      <c r="I68" s="57"/>
      <c r="J68" s="57"/>
      <c r="K68" s="59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69" spans="1:11" ht="15.75" customHeight="1">
      <c r="A69" s="60">
        <v>66</v>
      </c>
      <c r="B69" s="49" t="str">
        <f>RIGHT(tbl_sWGA[[#This Row],[Well]],LEN(tbl_sWGA[[#This Row],[Well]])-1)</f>
        <v>9</v>
      </c>
      <c r="C69" s="49" t="s">
        <v>54</v>
      </c>
      <c r="D69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69" s="30"/>
      <c r="F69" s="36"/>
      <c r="G69" s="30"/>
      <c r="H69" s="37"/>
      <c r="I69" s="37"/>
      <c r="J69" s="37"/>
      <c r="K69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70" spans="1:11" ht="15.75" customHeight="1">
      <c r="A70" s="60">
        <v>67</v>
      </c>
      <c r="B70" s="49" t="str">
        <f>RIGHT(tbl_sWGA[[#This Row],[Well]],LEN(tbl_sWGA[[#This Row],[Well]])-1)</f>
        <v>9</v>
      </c>
      <c r="C70" s="49" t="s">
        <v>103</v>
      </c>
      <c r="D70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70" s="30"/>
      <c r="F70" s="36"/>
      <c r="G70" s="30"/>
      <c r="H70" s="37"/>
      <c r="I70" s="37"/>
      <c r="J70" s="37"/>
      <c r="K70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71" spans="1:11" ht="15.75" customHeight="1">
      <c r="A71" s="60">
        <v>68</v>
      </c>
      <c r="B71" s="49" t="str">
        <f>RIGHT(tbl_sWGA[[#This Row],[Well]],LEN(tbl_sWGA[[#This Row],[Well]])-1)</f>
        <v>9</v>
      </c>
      <c r="C71" s="49" t="s">
        <v>104</v>
      </c>
      <c r="D71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71" s="30"/>
      <c r="F71" s="36"/>
      <c r="G71" s="30"/>
      <c r="H71" s="37"/>
      <c r="I71" s="37"/>
      <c r="J71" s="37"/>
      <c r="K71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72" spans="1:11" ht="15.75" customHeight="1">
      <c r="A72" s="60">
        <v>69</v>
      </c>
      <c r="B72" s="49" t="str">
        <f>RIGHT(tbl_sWGA[[#This Row],[Well]],LEN(tbl_sWGA[[#This Row],[Well]])-1)</f>
        <v>9</v>
      </c>
      <c r="C72" s="49" t="s">
        <v>105</v>
      </c>
      <c r="D72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72" s="30"/>
      <c r="F72" s="36"/>
      <c r="G72" s="30"/>
      <c r="H72" s="37"/>
      <c r="I72" s="37"/>
      <c r="J72" s="37"/>
      <c r="K72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73" spans="1:11" ht="15.75" customHeight="1">
      <c r="A73" s="60">
        <v>70</v>
      </c>
      <c r="B73" s="49" t="str">
        <f>RIGHT(tbl_sWGA[[#This Row],[Well]],LEN(tbl_sWGA[[#This Row],[Well]])-1)</f>
        <v>9</v>
      </c>
      <c r="C73" s="49" t="s">
        <v>106</v>
      </c>
      <c r="D73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73" s="30"/>
      <c r="F73" s="36"/>
      <c r="G73" s="30"/>
      <c r="H73" s="37"/>
      <c r="I73" s="37"/>
      <c r="J73" s="37"/>
      <c r="K73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74" spans="1:11" ht="15.75" customHeight="1">
      <c r="A74" s="60">
        <v>71</v>
      </c>
      <c r="B74" s="49" t="str">
        <f>RIGHT(tbl_sWGA[[#This Row],[Well]],LEN(tbl_sWGA[[#This Row],[Well]])-1)</f>
        <v>9</v>
      </c>
      <c r="C74" s="49" t="s">
        <v>107</v>
      </c>
      <c r="D74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74" s="30"/>
      <c r="F74" s="36"/>
      <c r="G74" s="30"/>
      <c r="H74" s="37"/>
      <c r="I74" s="37"/>
      <c r="J74" s="37"/>
      <c r="K74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75" spans="1:11" ht="15.75" customHeight="1" thickBot="1">
      <c r="A75" s="61">
        <v>72</v>
      </c>
      <c r="B75" s="70" t="str">
        <f>RIGHT(tbl_sWGA[[#This Row],[Well]],LEN(tbl_sWGA[[#This Row],[Well]])-1)</f>
        <v>9</v>
      </c>
      <c r="C75" s="70" t="s">
        <v>108</v>
      </c>
      <c r="D75" s="74" t="str">
        <f>IF(Assay!$F$32=Reference!$E$56,IF(LEN(tbl_sWGA[[#This Row],[Sample ID]])&gt;0,tbl_sWGA[[#This Row],[Sample ID]],""),IF(LEN(tbl_sWGA[[#This Row],[Extraction ID]])&gt;0,tbl_sWGA[[#This Row],[Extraction ID]],""))</f>
        <v/>
      </c>
      <c r="E75" s="63"/>
      <c r="F75" s="64"/>
      <c r="G75" s="63"/>
      <c r="H75" s="65"/>
      <c r="I75" s="65"/>
      <c r="J75" s="65"/>
      <c r="K75" s="66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76" spans="1:11" ht="15.75" customHeight="1">
      <c r="A76" s="55">
        <v>73</v>
      </c>
      <c r="B76" s="56" t="str">
        <f>RIGHT(tbl_sWGA[[#This Row],[Well]],LEN(tbl_sWGA[[#This Row],[Well]])-1)</f>
        <v>10</v>
      </c>
      <c r="C76" s="56" t="s">
        <v>43</v>
      </c>
      <c r="D76" s="73" t="str">
        <f>IF(Assay!$F$32=Reference!$E$56,IF(LEN(tbl_sWGA[[#This Row],[Sample ID]])&gt;0,tbl_sWGA[[#This Row],[Sample ID]],""),IF(LEN(tbl_sWGA[[#This Row],[Extraction ID]])&gt;0,tbl_sWGA[[#This Row],[Extraction ID]],""))</f>
        <v/>
      </c>
      <c r="E76" s="57"/>
      <c r="F76" s="58"/>
      <c r="G76" s="57"/>
      <c r="H76" s="57"/>
      <c r="I76" s="57"/>
      <c r="J76" s="57"/>
      <c r="K76" s="59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77" spans="1:11" ht="15.75" customHeight="1">
      <c r="A77" s="60">
        <v>74</v>
      </c>
      <c r="B77" s="49" t="str">
        <f>RIGHT(tbl_sWGA[[#This Row],[Well]],LEN(tbl_sWGA[[#This Row],[Well]])-1)</f>
        <v>10</v>
      </c>
      <c r="C77" s="49" t="s">
        <v>109</v>
      </c>
      <c r="D77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77" s="30"/>
      <c r="F77" s="36"/>
      <c r="G77" s="30"/>
      <c r="H77" s="37"/>
      <c r="I77" s="37"/>
      <c r="J77" s="37"/>
      <c r="K77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78" spans="1:11" ht="15.75" customHeight="1">
      <c r="A78" s="60">
        <v>75</v>
      </c>
      <c r="B78" s="49" t="str">
        <f>RIGHT(tbl_sWGA[[#This Row],[Well]],LEN(tbl_sWGA[[#This Row],[Well]])-1)</f>
        <v>10</v>
      </c>
      <c r="C78" s="49" t="s">
        <v>110</v>
      </c>
      <c r="D78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78" s="30"/>
      <c r="F78" s="36"/>
      <c r="G78" s="30"/>
      <c r="H78" s="37"/>
      <c r="I78" s="37"/>
      <c r="J78" s="37"/>
      <c r="K78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79" spans="1:11" ht="15.75" customHeight="1">
      <c r="A79" s="60">
        <v>76</v>
      </c>
      <c r="B79" s="49" t="str">
        <f>RIGHT(tbl_sWGA[[#This Row],[Well]],LEN(tbl_sWGA[[#This Row],[Well]])-1)</f>
        <v>10</v>
      </c>
      <c r="C79" s="49" t="s">
        <v>111</v>
      </c>
      <c r="D79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79" s="30"/>
      <c r="F79" s="36"/>
      <c r="G79" s="30"/>
      <c r="H79" s="37"/>
      <c r="I79" s="37"/>
      <c r="J79" s="37"/>
      <c r="K79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80" spans="1:11" ht="15.75" customHeight="1">
      <c r="A80" s="60">
        <v>77</v>
      </c>
      <c r="B80" s="49" t="str">
        <f>RIGHT(tbl_sWGA[[#This Row],[Well]],LEN(tbl_sWGA[[#This Row],[Well]])-1)</f>
        <v>10</v>
      </c>
      <c r="C80" s="49" t="s">
        <v>112</v>
      </c>
      <c r="D80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80" s="30"/>
      <c r="F80" s="36"/>
      <c r="G80" s="30"/>
      <c r="H80" s="37"/>
      <c r="I80" s="37"/>
      <c r="J80" s="37"/>
      <c r="K80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81" spans="1:11" ht="15.75" customHeight="1">
      <c r="A81" s="60">
        <v>78</v>
      </c>
      <c r="B81" s="49" t="str">
        <f>RIGHT(tbl_sWGA[[#This Row],[Well]],LEN(tbl_sWGA[[#This Row],[Well]])-1)</f>
        <v>10</v>
      </c>
      <c r="C81" s="49" t="s">
        <v>113</v>
      </c>
      <c r="D81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81" s="30"/>
      <c r="F81" s="36"/>
      <c r="G81" s="30"/>
      <c r="H81" s="37"/>
      <c r="I81" s="37"/>
      <c r="J81" s="37"/>
      <c r="K81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82" spans="1:11" ht="15.75" customHeight="1">
      <c r="A82" s="60">
        <v>79</v>
      </c>
      <c r="B82" s="49" t="str">
        <f>RIGHT(tbl_sWGA[[#This Row],[Well]],LEN(tbl_sWGA[[#This Row],[Well]])-1)</f>
        <v>10</v>
      </c>
      <c r="C82" s="49" t="s">
        <v>114</v>
      </c>
      <c r="D82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82" s="30"/>
      <c r="F82" s="36"/>
      <c r="G82" s="30"/>
      <c r="H82" s="37"/>
      <c r="I82" s="37"/>
      <c r="J82" s="37"/>
      <c r="K82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83" spans="1:11" ht="15.75" customHeight="1" thickBot="1">
      <c r="A83" s="61">
        <v>80</v>
      </c>
      <c r="B83" s="70" t="str">
        <f>RIGHT(tbl_sWGA[[#This Row],[Well]],LEN(tbl_sWGA[[#This Row],[Well]])-1)</f>
        <v>10</v>
      </c>
      <c r="C83" s="70" t="s">
        <v>115</v>
      </c>
      <c r="D83" s="74" t="str">
        <f>IF(Assay!$F$32=Reference!$E$56,IF(LEN(tbl_sWGA[[#This Row],[Sample ID]])&gt;0,tbl_sWGA[[#This Row],[Sample ID]],""),IF(LEN(tbl_sWGA[[#This Row],[Extraction ID]])&gt;0,tbl_sWGA[[#This Row],[Extraction ID]],""))</f>
        <v/>
      </c>
      <c r="E83" s="63"/>
      <c r="F83" s="64"/>
      <c r="G83" s="63"/>
      <c r="H83" s="65"/>
      <c r="I83" s="65"/>
      <c r="J83" s="65"/>
      <c r="K83" s="66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84" spans="1:11" ht="15.75" customHeight="1">
      <c r="A84" s="55">
        <v>81</v>
      </c>
      <c r="B84" s="56" t="str">
        <f>RIGHT(tbl_sWGA[[#This Row],[Well]],LEN(tbl_sWGA[[#This Row],[Well]])-1)</f>
        <v>11</v>
      </c>
      <c r="C84" s="56" t="s">
        <v>44</v>
      </c>
      <c r="D84" s="73" t="str">
        <f>IF(Assay!$F$32=Reference!$E$56,IF(LEN(tbl_sWGA[[#This Row],[Sample ID]])&gt;0,tbl_sWGA[[#This Row],[Sample ID]],""),IF(LEN(tbl_sWGA[[#This Row],[Extraction ID]])&gt;0,tbl_sWGA[[#This Row],[Extraction ID]],""))</f>
        <v/>
      </c>
      <c r="E84" s="57"/>
      <c r="F84" s="58"/>
      <c r="G84" s="57"/>
      <c r="H84" s="57"/>
      <c r="I84" s="57"/>
      <c r="J84" s="57"/>
      <c r="K84" s="59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85" spans="1:11" ht="15.75" customHeight="1">
      <c r="A85" s="60">
        <v>82</v>
      </c>
      <c r="B85" s="49" t="str">
        <f>RIGHT(tbl_sWGA[[#This Row],[Well]],LEN(tbl_sWGA[[#This Row],[Well]])-1)</f>
        <v>11</v>
      </c>
      <c r="C85" s="49" t="s">
        <v>116</v>
      </c>
      <c r="D85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85" s="30"/>
      <c r="F85" s="36"/>
      <c r="G85" s="30"/>
      <c r="H85" s="37"/>
      <c r="I85" s="37"/>
      <c r="J85" s="37"/>
      <c r="K85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86" spans="1:11" ht="15.75" customHeight="1">
      <c r="A86" s="60">
        <v>83</v>
      </c>
      <c r="B86" s="49" t="str">
        <f>RIGHT(tbl_sWGA[[#This Row],[Well]],LEN(tbl_sWGA[[#This Row],[Well]])-1)</f>
        <v>11</v>
      </c>
      <c r="C86" s="49" t="s">
        <v>117</v>
      </c>
      <c r="D86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86" s="30"/>
      <c r="F86" s="36"/>
      <c r="G86" s="30"/>
      <c r="H86" s="37"/>
      <c r="I86" s="37"/>
      <c r="J86" s="37"/>
      <c r="K86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87" spans="1:11" ht="15.75" customHeight="1">
      <c r="A87" s="60">
        <v>84</v>
      </c>
      <c r="B87" s="49" t="str">
        <f>RIGHT(tbl_sWGA[[#This Row],[Well]],LEN(tbl_sWGA[[#This Row],[Well]])-1)</f>
        <v>11</v>
      </c>
      <c r="C87" s="49" t="s">
        <v>118</v>
      </c>
      <c r="D87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87" s="30"/>
      <c r="F87" s="36"/>
      <c r="G87" s="30"/>
      <c r="H87" s="37"/>
      <c r="I87" s="37"/>
      <c r="J87" s="37"/>
      <c r="K87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88" spans="1:11" ht="15.75" customHeight="1">
      <c r="A88" s="60">
        <v>85</v>
      </c>
      <c r="B88" s="49" t="str">
        <f>RIGHT(tbl_sWGA[[#This Row],[Well]],LEN(tbl_sWGA[[#This Row],[Well]])-1)</f>
        <v>11</v>
      </c>
      <c r="C88" s="49" t="s">
        <v>119</v>
      </c>
      <c r="D88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88" s="30"/>
      <c r="F88" s="36"/>
      <c r="G88" s="30"/>
      <c r="H88" s="37"/>
      <c r="I88" s="37"/>
      <c r="J88" s="37"/>
      <c r="K88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89" spans="1:11" ht="15.75" customHeight="1">
      <c r="A89" s="60">
        <v>86</v>
      </c>
      <c r="B89" s="49" t="str">
        <f>RIGHT(tbl_sWGA[[#This Row],[Well]],LEN(tbl_sWGA[[#This Row],[Well]])-1)</f>
        <v>11</v>
      </c>
      <c r="C89" s="49" t="s">
        <v>120</v>
      </c>
      <c r="D89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89" s="30"/>
      <c r="F89" s="36"/>
      <c r="G89" s="30"/>
      <c r="H89" s="37"/>
      <c r="I89" s="37"/>
      <c r="J89" s="37"/>
      <c r="K89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90" spans="1:11" ht="15.75" customHeight="1">
      <c r="A90" s="60">
        <v>87</v>
      </c>
      <c r="B90" s="49" t="str">
        <f>RIGHT(tbl_sWGA[[#This Row],[Well]],LEN(tbl_sWGA[[#This Row],[Well]])-1)</f>
        <v>11</v>
      </c>
      <c r="C90" s="49" t="s">
        <v>121</v>
      </c>
      <c r="D90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90" s="30"/>
      <c r="F90" s="36"/>
      <c r="G90" s="30"/>
      <c r="H90" s="37"/>
      <c r="I90" s="37"/>
      <c r="J90" s="37"/>
      <c r="K90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91" spans="1:11" ht="15.75" customHeight="1" thickBot="1">
      <c r="A91" s="61">
        <v>88</v>
      </c>
      <c r="B91" s="70" t="str">
        <f>RIGHT(tbl_sWGA[[#This Row],[Well]],LEN(tbl_sWGA[[#This Row],[Well]])-1)</f>
        <v>11</v>
      </c>
      <c r="C91" s="70" t="s">
        <v>122</v>
      </c>
      <c r="D91" s="74" t="str">
        <f>IF(Assay!$F$32=Reference!$E$56,IF(LEN(tbl_sWGA[[#This Row],[Sample ID]])&gt;0,tbl_sWGA[[#This Row],[Sample ID]],""),IF(LEN(tbl_sWGA[[#This Row],[Extraction ID]])&gt;0,tbl_sWGA[[#This Row],[Extraction ID]],""))</f>
        <v/>
      </c>
      <c r="E91" s="63"/>
      <c r="F91" s="64"/>
      <c r="G91" s="63"/>
      <c r="H91" s="65"/>
      <c r="I91" s="65"/>
      <c r="J91" s="65"/>
      <c r="K91" s="66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92" spans="1:11" ht="15.75" customHeight="1">
      <c r="A92" s="55">
        <v>89</v>
      </c>
      <c r="B92" s="56" t="str">
        <f>RIGHT(tbl_sWGA[[#This Row],[Well]],LEN(tbl_sWGA[[#This Row],[Well]])-1)</f>
        <v>12</v>
      </c>
      <c r="C92" s="56" t="s">
        <v>45</v>
      </c>
      <c r="D92" s="73" t="str">
        <f>IF(Assay!$F$32=Reference!$E$56,IF(LEN(tbl_sWGA[[#This Row],[Sample ID]])&gt;0,tbl_sWGA[[#This Row],[Sample ID]],""),IF(LEN(tbl_sWGA[[#This Row],[Extraction ID]])&gt;0,tbl_sWGA[[#This Row],[Extraction ID]],""))</f>
        <v/>
      </c>
      <c r="E92" s="57"/>
      <c r="F92" s="58"/>
      <c r="G92" s="57"/>
      <c r="H92" s="57"/>
      <c r="I92" s="57"/>
      <c r="J92" s="57"/>
      <c r="K92" s="59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93" spans="1:11" ht="15.75" customHeight="1">
      <c r="A93" s="60">
        <v>90</v>
      </c>
      <c r="B93" s="49" t="str">
        <f>RIGHT(tbl_sWGA[[#This Row],[Well]],LEN(tbl_sWGA[[#This Row],[Well]])-1)</f>
        <v>12</v>
      </c>
      <c r="C93" s="49" t="s">
        <v>123</v>
      </c>
      <c r="D93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93" s="30"/>
      <c r="F93" s="36"/>
      <c r="G93" s="30"/>
      <c r="H93" s="37"/>
      <c r="I93" s="37"/>
      <c r="J93" s="37"/>
      <c r="K93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94" spans="1:11" ht="15.75" customHeight="1">
      <c r="A94" s="60">
        <v>91</v>
      </c>
      <c r="B94" s="49" t="str">
        <f>RIGHT(tbl_sWGA[[#This Row],[Well]],LEN(tbl_sWGA[[#This Row],[Well]])-1)</f>
        <v>12</v>
      </c>
      <c r="C94" s="49" t="s">
        <v>124</v>
      </c>
      <c r="D94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94" s="30"/>
      <c r="F94" s="36"/>
      <c r="G94" s="30"/>
      <c r="H94" s="37"/>
      <c r="I94" s="37"/>
      <c r="J94" s="37"/>
      <c r="K94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95" spans="1:11" ht="15.75" customHeight="1">
      <c r="A95" s="60">
        <v>92</v>
      </c>
      <c r="B95" s="49" t="str">
        <f>RIGHT(tbl_sWGA[[#This Row],[Well]],LEN(tbl_sWGA[[#This Row],[Well]])-1)</f>
        <v>12</v>
      </c>
      <c r="C95" s="49" t="s">
        <v>125</v>
      </c>
      <c r="D95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95" s="30"/>
      <c r="F95" s="36"/>
      <c r="G95" s="30"/>
      <c r="H95" s="37"/>
      <c r="I95" s="37"/>
      <c r="J95" s="37"/>
      <c r="K95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96" spans="1:11" ht="15.75" customHeight="1">
      <c r="A96" s="60">
        <v>93</v>
      </c>
      <c r="B96" s="49" t="str">
        <f>RIGHT(tbl_sWGA[[#This Row],[Well]],LEN(tbl_sWGA[[#This Row],[Well]])-1)</f>
        <v>12</v>
      </c>
      <c r="C96" s="49" t="s">
        <v>126</v>
      </c>
      <c r="D96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96" s="30"/>
      <c r="F96" s="36"/>
      <c r="G96" s="30"/>
      <c r="H96" s="37"/>
      <c r="I96" s="37"/>
      <c r="J96" s="37"/>
      <c r="K96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97" spans="1:11" ht="15.75" customHeight="1">
      <c r="A97" s="60">
        <v>94</v>
      </c>
      <c r="B97" s="49" t="str">
        <f>RIGHT(tbl_sWGA[[#This Row],[Well]],LEN(tbl_sWGA[[#This Row],[Well]])-1)</f>
        <v>12</v>
      </c>
      <c r="C97" s="49" t="s">
        <v>127</v>
      </c>
      <c r="D97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97" s="30"/>
      <c r="F97" s="36"/>
      <c r="G97" s="30"/>
      <c r="H97" s="37"/>
      <c r="I97" s="37"/>
      <c r="J97" s="37"/>
      <c r="K97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98" spans="1:11" ht="15.75" customHeight="1">
      <c r="A98" s="60">
        <v>95</v>
      </c>
      <c r="B98" s="49" t="str">
        <f>RIGHT(tbl_sWGA[[#This Row],[Well]],LEN(tbl_sWGA[[#This Row],[Well]])-1)</f>
        <v>12</v>
      </c>
      <c r="C98" s="49" t="s">
        <v>128</v>
      </c>
      <c r="D98" s="71" t="str">
        <f>IF(Assay!$F$32=Reference!$E$56,IF(LEN(tbl_sWGA[[#This Row],[Sample ID]])&gt;0,tbl_sWGA[[#This Row],[Sample ID]],""),IF(LEN(tbl_sWGA[[#This Row],[Extraction ID]])&gt;0,tbl_sWGA[[#This Row],[Extraction ID]],""))</f>
        <v/>
      </c>
      <c r="E98" s="30"/>
      <c r="F98" s="36"/>
      <c r="G98" s="30"/>
      <c r="H98" s="37"/>
      <c r="I98" s="37"/>
      <c r="J98" s="37"/>
      <c r="K98" s="15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99" spans="1:11" ht="15.75" customHeight="1" thickBot="1">
      <c r="A99" s="61">
        <v>96</v>
      </c>
      <c r="B99" s="70" t="str">
        <f>RIGHT(tbl_sWGA[[#This Row],[Well]],LEN(tbl_sWGA[[#This Row],[Well]])-1)</f>
        <v>12</v>
      </c>
      <c r="C99" s="70" t="s">
        <v>129</v>
      </c>
      <c r="D99" s="74" t="str">
        <f>IF(Assay!$F$32=Reference!$E$56,IF(LEN(tbl_sWGA[[#This Row],[Sample ID]])&gt;0,tbl_sWGA[[#This Row],[Sample ID]],""),IF(LEN(tbl_sWGA[[#This Row],[Extraction ID]])&gt;0,tbl_sWGA[[#This Row],[Extraction ID]],""))</f>
        <v/>
      </c>
      <c r="E99" s="63"/>
      <c r="F99" s="64"/>
      <c r="G99" s="63"/>
      <c r="H99" s="65"/>
      <c r="I99" s="65"/>
      <c r="J99" s="65"/>
      <c r="K99" s="66" t="str">
        <f>IF(OR(ISBLANK(tbl_sWGA[[#This Row],[sWGA qubit '[DNA'] (ng / ul)]]),ISBLANK(tbl_sWGA[[#This Row],[sWGA Dilution Factor]])),"",SUM(tbl_sWGA[[#This Row],[sWGA qubit '[DNA'] (ng / ul)]]*tbl_sWGA[[#This Row],[sWGA Dilution Factor]]))</f>
        <v/>
      </c>
    </row>
    <row r="100" spans="1:11" s="19" customFormat="1">
      <c r="A100" s="18"/>
      <c r="B100" s="18"/>
      <c r="C100" s="18"/>
      <c r="D100" s="18"/>
      <c r="E100" s="117" t="s">
        <v>203</v>
      </c>
      <c r="F100" s="118"/>
      <c r="G100" s="118"/>
      <c r="H100" s="18">
        <v>1</v>
      </c>
      <c r="I100" s="18"/>
      <c r="J100" s="18">
        <v>1</v>
      </c>
      <c r="K100" s="18"/>
    </row>
    <row r="101" spans="1:11">
      <c r="A101" s="1"/>
      <c r="B101" s="1"/>
      <c r="C101" s="1"/>
      <c r="D101" s="1"/>
      <c r="E101" s="1"/>
      <c r="F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H112" s="1"/>
      <c r="I112" s="1"/>
      <c r="J112" s="1"/>
      <c r="K112" s="1"/>
    </row>
  </sheetData>
  <sheetProtection sheet="1" sort="0" autoFilter="0"/>
  <mergeCells count="4">
    <mergeCell ref="H2:K2"/>
    <mergeCell ref="D2:G2"/>
    <mergeCell ref="E1:G1"/>
    <mergeCell ref="E100:G100"/>
  </mergeCells>
  <phoneticPr fontId="6" type="noConversion"/>
  <conditionalFormatting sqref="D4:G99">
    <cfRule type="containsText" dxfId="1" priority="2" operator="containsText" text=" ">
      <formula>NOT(ISERROR(SEARCH(" ",D4)))</formula>
    </cfRule>
  </conditionalFormatting>
  <conditionalFormatting sqref="D4:J99">
    <cfRule type="expression" dxfId="0" priority="5">
      <formula>COUNTIF(D4,"")</formula>
    </cfRule>
  </conditionalFormatting>
  <dataValidations count="1">
    <dataValidation type="textLength" errorStyle="warning" operator="greaterThan" allowBlank="1" showErrorMessage="1" error="The Extraction ID cannot be left blank." prompt="Enter the Extraction ID" sqref="E4:F99" xr:uid="{51285661-A40B-4DE6-841D-9FB51A517C0E}">
      <formula1>0</formula1>
    </dataValidation>
  </dataValidations>
  <pageMargins left="0.23622047244094491" right="0.23622047244094491" top="0.74803149606299213" bottom="0.74803149606299213" header="0.31496062992125984" footer="0.31496062992125984"/>
  <pageSetup paperSize="9" scale="68" fitToHeight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operator="greaterThan" allowBlank="1" showErrorMessage="1" error="The Extraction ID cannot be left blank." prompt="Enter the Extraction ID" xr:uid="{8C11AC83-0FD6-4845-BB3D-7AD768F43A65}">
          <x14:formula1>
            <xm:f>Reference!$E$21:$E$23</xm:f>
          </x14:formula1>
          <xm:sqref>G4:G99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22BC-EB65-47E0-AF90-9D941680FB8A}">
  <sheetPr codeName="Sheet6">
    <tabColor rgb="FFFFC000"/>
  </sheetPr>
  <dimension ref="A1:K57"/>
  <sheetViews>
    <sheetView tabSelected="1" topLeftCell="A2" workbookViewId="0">
      <selection activeCell="A6" sqref="A6"/>
    </sheetView>
  </sheetViews>
  <sheetFormatPr defaultRowHeight="15.6"/>
  <cols>
    <col min="1" max="1" width="46.59765625" customWidth="1"/>
    <col min="5" max="5" width="20" bestFit="1" customWidth="1"/>
    <col min="6" max="8" width="7.5" customWidth="1"/>
    <col min="9" max="9" width="21" customWidth="1"/>
    <col min="10" max="10" width="10.59765625" customWidth="1"/>
    <col min="11" max="11" width="6.09765625" customWidth="1"/>
    <col min="13" max="13" width="17.69921875" bestFit="1" customWidth="1"/>
    <col min="14" max="14" width="28.8984375" customWidth="1"/>
  </cols>
  <sheetData>
    <row r="1" spans="1:5" ht="46.2">
      <c r="A1" s="46" t="s">
        <v>175</v>
      </c>
      <c r="B1" s="43"/>
    </row>
    <row r="2" spans="1:5" ht="33.6">
      <c r="A2" s="75" t="s">
        <v>201</v>
      </c>
      <c r="B2" s="43"/>
    </row>
    <row r="3" spans="1:5" ht="33.6">
      <c r="A3" s="75" t="s">
        <v>202</v>
      </c>
      <c r="B3" s="43"/>
    </row>
    <row r="4" spans="1:5" ht="31.2">
      <c r="A4" s="43"/>
      <c r="B4" s="43"/>
    </row>
    <row r="5" spans="1:5" ht="31.2">
      <c r="A5" s="45" t="s">
        <v>176</v>
      </c>
      <c r="B5" s="43"/>
    </row>
    <row r="6" spans="1:5" ht="31.2">
      <c r="A6" s="43" t="s">
        <v>200</v>
      </c>
      <c r="B6" s="43"/>
    </row>
    <row r="7" spans="1:5" ht="31.2">
      <c r="A7" s="44" t="s">
        <v>198</v>
      </c>
      <c r="B7" s="43"/>
    </row>
    <row r="8" spans="1:5" ht="31.2">
      <c r="A8" s="44"/>
      <c r="B8" s="43"/>
    </row>
    <row r="9" spans="1:5" ht="31.2">
      <c r="A9" s="42"/>
      <c r="B9" s="43"/>
    </row>
    <row r="10" spans="1:5" ht="31.2">
      <c r="A10" s="44"/>
      <c r="B10" s="43"/>
    </row>
    <row r="11" spans="1:5" ht="31.2">
      <c r="A11" s="43"/>
      <c r="B11" s="43"/>
    </row>
    <row r="12" spans="1:5" ht="31.2">
      <c r="A12" s="43"/>
      <c r="B12" s="43"/>
    </row>
    <row r="13" spans="1:5" ht="31.2">
      <c r="A13" s="43"/>
      <c r="B13" s="43"/>
    </row>
    <row r="14" spans="1:5" ht="46.2">
      <c r="A14" s="46" t="s">
        <v>199</v>
      </c>
      <c r="B14" s="43"/>
    </row>
    <row r="15" spans="1:5" ht="18">
      <c r="A15" s="4" t="s">
        <v>1</v>
      </c>
      <c r="C15" s="3"/>
      <c r="D15" s="3"/>
      <c r="E15" s="4" t="s">
        <v>23</v>
      </c>
    </row>
    <row r="16" spans="1:5" ht="16.2" thickBot="1">
      <c r="A16" s="24" t="s">
        <v>20</v>
      </c>
      <c r="B16" s="25"/>
      <c r="C16" s="25"/>
      <c r="E16" s="24" t="s">
        <v>178</v>
      </c>
    </row>
    <row r="17" spans="1:11">
      <c r="A17" s="2" t="s">
        <v>21</v>
      </c>
      <c r="B17" s="34">
        <v>40</v>
      </c>
      <c r="C17" t="s">
        <v>0</v>
      </c>
      <c r="E17" t="s">
        <v>180</v>
      </c>
    </row>
    <row r="18" spans="1:11">
      <c r="A18" s="2" t="s">
        <v>173</v>
      </c>
      <c r="B18" s="35">
        <f>IF(swga_enzyme=Reference!$E$17, 10,12.8)</f>
        <v>12.8</v>
      </c>
      <c r="C18" s="33" t="s">
        <v>174</v>
      </c>
      <c r="D18" s="5"/>
      <c r="E18" t="s">
        <v>181</v>
      </c>
    </row>
    <row r="20" spans="1:11" ht="16.2" thickBot="1">
      <c r="A20" s="24" t="s">
        <v>158</v>
      </c>
      <c r="B20" s="25"/>
      <c r="C20" s="25"/>
      <c r="E20" s="24" t="s">
        <v>183</v>
      </c>
    </row>
    <row r="21" spans="1:11">
      <c r="A21" s="2" t="s">
        <v>159</v>
      </c>
      <c r="B21" t="s">
        <v>32</v>
      </c>
      <c r="E21" t="s">
        <v>185</v>
      </c>
    </row>
    <row r="22" spans="1:11">
      <c r="A22" s="2" t="s">
        <v>160</v>
      </c>
      <c r="B22">
        <v>11</v>
      </c>
      <c r="E22" t="s">
        <v>186</v>
      </c>
    </row>
    <row r="23" spans="1:11">
      <c r="E23" t="s">
        <v>187</v>
      </c>
    </row>
    <row r="24" spans="1:11" ht="16.2" thickBot="1">
      <c r="A24" s="24" t="s">
        <v>172</v>
      </c>
    </row>
    <row r="25" spans="1:11" ht="16.2" thickBot="1">
      <c r="A25" t="s">
        <v>208</v>
      </c>
      <c r="E25" s="24" t="s">
        <v>192</v>
      </c>
      <c r="F25" s="24"/>
    </row>
    <row r="26" spans="1:11">
      <c r="A26" s="2" t="s">
        <v>209</v>
      </c>
      <c r="E26">
        <f>IF(swga_enzyme=Reference!$E$17,Reference!E36,Reference!E46)</f>
        <v>45</v>
      </c>
      <c r="F26" t="str">
        <f>IF(swga_enzyme=Reference!$E$17,Reference!F36,Reference!F46)</f>
        <v>Prepare</v>
      </c>
      <c r="I26" s="3"/>
      <c r="J26" s="3"/>
      <c r="K26" s="3"/>
    </row>
    <row r="27" spans="1:11">
      <c r="A27" s="2"/>
      <c r="E27">
        <f>IF(swga_enzyme=Reference!$E$17,Reference!E37,Reference!E47)</f>
        <v>45</v>
      </c>
      <c r="F27" t="str">
        <f>IF(swga_enzyme=Reference!$E$17,Reference!F37,Reference!F47)</f>
        <v>60 min</v>
      </c>
    </row>
    <row r="28" spans="1:11">
      <c r="E28">
        <f>IF(swga_enzyme=Reference!$E$17,Reference!E38,Reference!E48)</f>
        <v>65</v>
      </c>
      <c r="F28" t="str">
        <f>IF(swga_enzyme=Reference!$E$17,Reference!F38,Reference!F48)</f>
        <v>10 min</v>
      </c>
    </row>
    <row r="29" spans="1:11">
      <c r="E29">
        <f>IF(swga_enzyme=Reference!$E$17,Reference!E39,Reference!E49)</f>
        <v>8</v>
      </c>
      <c r="F29" t="str">
        <f>IF(swga_enzyme=Reference!$E$17,Reference!F39,Reference!F49)</f>
        <v>∞</v>
      </c>
    </row>
    <row r="30" spans="1:11">
      <c r="E30" t="str">
        <f>IF(swga_enzyme=Reference!$E$17,Reference!E40,Reference!E50)</f>
        <v>-</v>
      </c>
      <c r="F30" t="str">
        <f>IF(swga_enzyme=Reference!$E$17,Reference!F40,Reference!F50)</f>
        <v>-</v>
      </c>
    </row>
    <row r="31" spans="1:11">
      <c r="E31" t="str">
        <f>IF(swga_enzyme=Reference!$E$17,Reference!E41,Reference!E51)</f>
        <v>-</v>
      </c>
      <c r="F31" t="str">
        <f>IF(swga_enzyme=Reference!$E$17,Reference!F41,Reference!F51)</f>
        <v>-</v>
      </c>
    </row>
    <row r="32" spans="1:11">
      <c r="E32" t="str">
        <f>IF(swga_enzyme=Reference!$E$17,Reference!E42,Reference!E52)</f>
        <v>-</v>
      </c>
      <c r="F32" t="str">
        <f>IF(swga_enzyme=Reference!$E$17,Reference!F42,Reference!F52)</f>
        <v>-</v>
      </c>
    </row>
    <row r="33" spans="5:6">
      <c r="E33" t="str">
        <f>IF(swga_enzyme=Reference!$E$17,Reference!E43,Reference!E53)</f>
        <v>-</v>
      </c>
      <c r="F33" t="str">
        <f>IF(swga_enzyme=Reference!$E$17,Reference!F43,Reference!F53)</f>
        <v>-</v>
      </c>
    </row>
    <row r="35" spans="5:6" ht="16.2" thickBot="1">
      <c r="E35" s="24" t="s">
        <v>191</v>
      </c>
      <c r="F35" s="24"/>
    </row>
    <row r="36" spans="5:6">
      <c r="E36">
        <v>35</v>
      </c>
      <c r="F36" t="s">
        <v>14</v>
      </c>
    </row>
    <row r="37" spans="5:6">
      <c r="E37">
        <v>34</v>
      </c>
      <c r="F37" t="s">
        <v>13</v>
      </c>
    </row>
    <row r="38" spans="5:6">
      <c r="E38">
        <v>33</v>
      </c>
      <c r="F38" t="s">
        <v>15</v>
      </c>
    </row>
    <row r="39" spans="5:6">
      <c r="E39">
        <v>32</v>
      </c>
      <c r="F39" t="s">
        <v>16</v>
      </c>
    </row>
    <row r="40" spans="5:6">
      <c r="E40">
        <v>31</v>
      </c>
      <c r="F40" t="s">
        <v>17</v>
      </c>
    </row>
    <row r="41" spans="5:6">
      <c r="E41">
        <v>30</v>
      </c>
      <c r="F41" t="s">
        <v>12</v>
      </c>
    </row>
    <row r="42" spans="5:6">
      <c r="E42">
        <v>65</v>
      </c>
      <c r="F42" t="s">
        <v>15</v>
      </c>
    </row>
    <row r="43" spans="5:6">
      <c r="E43">
        <v>10</v>
      </c>
      <c r="F43" t="s">
        <v>10</v>
      </c>
    </row>
    <row r="45" spans="5:6" ht="16.2" thickBot="1">
      <c r="E45" s="24" t="s">
        <v>190</v>
      </c>
      <c r="F45" s="24"/>
    </row>
    <row r="46" spans="5:6">
      <c r="E46">
        <v>45</v>
      </c>
      <c r="F46" t="s">
        <v>189</v>
      </c>
    </row>
    <row r="47" spans="5:6">
      <c r="E47">
        <v>45</v>
      </c>
      <c r="F47" t="s">
        <v>188</v>
      </c>
    </row>
    <row r="48" spans="5:6">
      <c r="E48">
        <v>65</v>
      </c>
      <c r="F48" t="s">
        <v>13</v>
      </c>
    </row>
    <row r="49" spans="5:6">
      <c r="E49">
        <v>8</v>
      </c>
      <c r="F49" s="13" t="s">
        <v>10</v>
      </c>
    </row>
    <row r="50" spans="5:6">
      <c r="E50" t="s">
        <v>193</v>
      </c>
      <c r="F50" t="s">
        <v>193</v>
      </c>
    </row>
    <row r="51" spans="5:6">
      <c r="E51" t="s">
        <v>193</v>
      </c>
      <c r="F51" t="s">
        <v>193</v>
      </c>
    </row>
    <row r="52" spans="5:6">
      <c r="E52" t="s">
        <v>193</v>
      </c>
      <c r="F52" t="s">
        <v>193</v>
      </c>
    </row>
    <row r="53" spans="5:6">
      <c r="E53" t="s">
        <v>193</v>
      </c>
      <c r="F53" t="s">
        <v>193</v>
      </c>
    </row>
    <row r="55" spans="5:6" ht="16.2" thickBot="1">
      <c r="E55" s="24" t="s">
        <v>194</v>
      </c>
    </row>
    <row r="56" spans="5:6">
      <c r="E56" t="s">
        <v>5</v>
      </c>
    </row>
    <row r="57" spans="5:6">
      <c r="E57" t="s">
        <v>19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C2B5-95B1-439E-BE19-CEF07B8EDCC4}">
  <sheetPr codeName="Sheet3">
    <tabColor rgb="FFFF0000"/>
  </sheetPr>
  <dimension ref="A1:K2"/>
  <sheetViews>
    <sheetView workbookViewId="0">
      <selection activeCell="I2" sqref="I2"/>
    </sheetView>
  </sheetViews>
  <sheetFormatPr defaultRowHeight="15.6"/>
  <cols>
    <col min="1" max="9" width="16.09765625" customWidth="1"/>
    <col min="10" max="10" width="18.8984375" customWidth="1"/>
    <col min="11" max="11" width="26" customWidth="1"/>
  </cols>
  <sheetData>
    <row r="1" spans="1:11">
      <c r="A1" t="s">
        <v>161</v>
      </c>
      <c r="B1" t="s">
        <v>145</v>
      </c>
      <c r="C1" t="s">
        <v>162</v>
      </c>
      <c r="D1" t="s">
        <v>164</v>
      </c>
      <c r="E1" t="s">
        <v>165</v>
      </c>
      <c r="F1" t="s">
        <v>163</v>
      </c>
      <c r="G1" t="s">
        <v>167</v>
      </c>
      <c r="H1" t="s">
        <v>169</v>
      </c>
      <c r="I1" t="s">
        <v>182</v>
      </c>
      <c r="J1" t="s">
        <v>152</v>
      </c>
      <c r="K1" t="s">
        <v>153</v>
      </c>
    </row>
    <row r="2" spans="1:11">
      <c r="A2" t="str">
        <f>IF(LEN(exp_id)=0,"",exp_id)</f>
        <v/>
      </c>
      <c r="B2" t="str">
        <f>IF(LEN(exp_date)=0,"",exp_date)</f>
        <v/>
      </c>
      <c r="C2" t="str">
        <f>IF(LEN(user_name)=0,"",user_name)</f>
        <v/>
      </c>
      <c r="D2" t="str">
        <f>IF(LEN(exp_type)=0,"",exp_type)</f>
        <v>sWGA</v>
      </c>
      <c r="E2">
        <f>IF(LEN(exp_version)=0,"",exp_version)</f>
        <v>11</v>
      </c>
      <c r="F2">
        <f>IF(LEN(exp_rxns)=0,"",exp_rxns)</f>
        <v>0</v>
      </c>
      <c r="G2" t="str">
        <f>IF(LEN(exp_notes)=0,"",exp_notes)</f>
        <v/>
      </c>
      <c r="H2" t="str">
        <f>IF(LEN(exp_summary)=0,"",exp_summary)</f>
        <v/>
      </c>
      <c r="I2" t="str">
        <f>swga_enzyme</f>
        <v>equiphi29</v>
      </c>
      <c r="J2">
        <f>IF(LEN(swga_rxnvol)=0,"",swga_rxnvol)</f>
        <v>20</v>
      </c>
      <c r="K2">
        <f>IF(LEN(swga_targetmass)=0,"",swga_targetmass)</f>
        <v>40</v>
      </c>
    </row>
  </sheetData>
  <sheetProtection algorithmName="SHA-512" hashValue="MpGc2lPTHzUcZspl9244dEmArvb60iiqPVTedP+fLrZmKShA9OI+jpGFY4i0dd8iRns0SWgsjPFX/J0NLUjnHQ==" saltValue="UjyN+B5GBuX75ZGpIqQvMw==" spinCount="100000" sheet="1" formatColumns="0" insertRows="0" autoFilter="0"/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CEA82-150A-41D7-B15C-7A035D1B3354}">
  <sheetPr codeName="Sheet7">
    <tabColor rgb="FFFF0000"/>
  </sheetPr>
  <dimension ref="A1:E97"/>
  <sheetViews>
    <sheetView workbookViewId="0">
      <selection activeCell="D12" sqref="D12"/>
    </sheetView>
  </sheetViews>
  <sheetFormatPr defaultRowHeight="15.6"/>
  <cols>
    <col min="1" max="1" width="11.19921875" customWidth="1"/>
    <col min="2" max="3" width="13.69921875" customWidth="1"/>
    <col min="4" max="4" width="19.5" customWidth="1"/>
    <col min="5" max="5" width="28.19921875" customWidth="1"/>
  </cols>
  <sheetData>
    <row r="1" spans="1:5">
      <c r="A1" t="s">
        <v>154</v>
      </c>
      <c r="B1" t="s">
        <v>155</v>
      </c>
      <c r="C1" t="s">
        <v>184</v>
      </c>
      <c r="D1" t="s">
        <v>156</v>
      </c>
      <c r="E1" t="s">
        <v>157</v>
      </c>
    </row>
    <row r="2" spans="1:5">
      <c r="A2" t="str">
        <f>IF(LEN(sWGA!E4)=0,"",sWGA!E4)</f>
        <v/>
      </c>
      <c r="B2" t="str">
        <f>IF(LEN(sWGA!F4)=0,"",sWGA!F4)</f>
        <v/>
      </c>
      <c r="C2" t="str">
        <f>IF(LEN(sWGA!G4)=0,"",sWGA!G4)</f>
        <v/>
      </c>
      <c r="D2" t="str">
        <f>IF(LEN(sWGA!H4)=0,"",sWGA!H4)</f>
        <v/>
      </c>
      <c r="E2" t="str">
        <f>IF(LEN(sWGA!K4)=0,"",sWGA!K4)</f>
        <v/>
      </c>
    </row>
    <row r="3" spans="1:5">
      <c r="A3" t="str">
        <f>IF(LEN(sWGA!E5)=0,"",sWGA!E5)</f>
        <v/>
      </c>
      <c r="B3" t="str">
        <f>IF(LEN(sWGA!F5)=0,"",sWGA!F5)</f>
        <v/>
      </c>
      <c r="C3" t="str">
        <f>IF(LEN(sWGA!G5)=0,"",sWGA!G5)</f>
        <v/>
      </c>
      <c r="D3" t="str">
        <f>IF(LEN(sWGA!H5)=0,"",sWGA!H5)</f>
        <v/>
      </c>
      <c r="E3" t="str">
        <f>IF(LEN(sWGA!K5)=0,"",sWGA!K5)</f>
        <v/>
      </c>
    </row>
    <row r="4" spans="1:5">
      <c r="A4" t="str">
        <f>IF(LEN(sWGA!E6)=0,"",sWGA!E6)</f>
        <v/>
      </c>
      <c r="B4" t="str">
        <f>IF(LEN(sWGA!F6)=0,"",sWGA!F6)</f>
        <v/>
      </c>
      <c r="C4" t="str">
        <f>IF(LEN(sWGA!G6)=0,"",sWGA!G6)</f>
        <v/>
      </c>
      <c r="D4" t="str">
        <f>IF(LEN(sWGA!H6)=0,"",sWGA!H6)</f>
        <v/>
      </c>
      <c r="E4" t="str">
        <f>IF(LEN(sWGA!K6)=0,"",sWGA!K6)</f>
        <v/>
      </c>
    </row>
    <row r="5" spans="1:5">
      <c r="A5" t="str">
        <f>IF(LEN(sWGA!E7)=0,"",sWGA!E7)</f>
        <v/>
      </c>
      <c r="B5" t="str">
        <f>IF(LEN(sWGA!F7)=0,"",sWGA!F7)</f>
        <v/>
      </c>
      <c r="C5" t="str">
        <f>IF(LEN(sWGA!G7)=0,"",sWGA!G7)</f>
        <v/>
      </c>
      <c r="D5" t="str">
        <f>IF(LEN(sWGA!H7)=0,"",sWGA!H7)</f>
        <v/>
      </c>
      <c r="E5" t="str">
        <f>IF(LEN(sWGA!K7)=0,"",sWGA!K7)</f>
        <v/>
      </c>
    </row>
    <row r="6" spans="1:5">
      <c r="A6" t="str">
        <f>IF(LEN(sWGA!E8)=0,"",sWGA!E8)</f>
        <v/>
      </c>
      <c r="B6" t="str">
        <f>IF(LEN(sWGA!F8)=0,"",sWGA!F8)</f>
        <v/>
      </c>
      <c r="C6" t="str">
        <f>IF(LEN(sWGA!G8)=0,"",sWGA!G8)</f>
        <v/>
      </c>
      <c r="D6" t="str">
        <f>IF(LEN(sWGA!H8)=0,"",sWGA!H8)</f>
        <v/>
      </c>
      <c r="E6" t="str">
        <f>IF(LEN(sWGA!K8)=0,"",sWGA!K8)</f>
        <v/>
      </c>
    </row>
    <row r="7" spans="1:5">
      <c r="A7" t="str">
        <f>IF(LEN(sWGA!E9)=0,"",sWGA!E9)</f>
        <v/>
      </c>
      <c r="B7" t="str">
        <f>IF(LEN(sWGA!F9)=0,"",sWGA!F9)</f>
        <v/>
      </c>
      <c r="C7" t="str">
        <f>IF(LEN(sWGA!G9)=0,"",sWGA!G9)</f>
        <v/>
      </c>
      <c r="D7" t="str">
        <f>IF(LEN(sWGA!H9)=0,"",sWGA!H9)</f>
        <v/>
      </c>
      <c r="E7" t="str">
        <f>IF(LEN(sWGA!K9)=0,"",sWGA!K9)</f>
        <v/>
      </c>
    </row>
    <row r="8" spans="1:5">
      <c r="A8" t="str">
        <f>IF(LEN(sWGA!E10)=0,"",sWGA!E10)</f>
        <v/>
      </c>
      <c r="B8" t="str">
        <f>IF(LEN(sWGA!F10)=0,"",sWGA!F10)</f>
        <v/>
      </c>
      <c r="C8" t="str">
        <f>IF(LEN(sWGA!G10)=0,"",sWGA!G10)</f>
        <v/>
      </c>
      <c r="D8" t="str">
        <f>IF(LEN(sWGA!H10)=0,"",sWGA!H10)</f>
        <v/>
      </c>
      <c r="E8" t="str">
        <f>IF(LEN(sWGA!K10)=0,"",sWGA!K10)</f>
        <v/>
      </c>
    </row>
    <row r="9" spans="1:5">
      <c r="A9" t="str">
        <f>IF(LEN(sWGA!E11)=0,"",sWGA!E11)</f>
        <v/>
      </c>
      <c r="B9" t="str">
        <f>IF(LEN(sWGA!F11)=0,"",sWGA!F11)</f>
        <v/>
      </c>
      <c r="C9" t="str">
        <f>IF(LEN(sWGA!G11)=0,"",sWGA!G11)</f>
        <v/>
      </c>
      <c r="D9" t="str">
        <f>IF(LEN(sWGA!H11)=0,"",sWGA!H11)</f>
        <v/>
      </c>
      <c r="E9" t="str">
        <f>IF(LEN(sWGA!K11)=0,"",sWGA!K11)</f>
        <v/>
      </c>
    </row>
    <row r="10" spans="1:5">
      <c r="A10" t="str">
        <f>IF(LEN(sWGA!E12)=0,"",sWGA!E12)</f>
        <v/>
      </c>
      <c r="B10" t="str">
        <f>IF(LEN(sWGA!F12)=0,"",sWGA!F12)</f>
        <v/>
      </c>
      <c r="C10" t="str">
        <f>IF(LEN(sWGA!G12)=0,"",sWGA!G12)</f>
        <v/>
      </c>
      <c r="D10" t="str">
        <f>IF(LEN(sWGA!H12)=0,"",sWGA!H12)</f>
        <v/>
      </c>
      <c r="E10" t="str">
        <f>IF(LEN(sWGA!K12)=0,"",sWGA!K12)</f>
        <v/>
      </c>
    </row>
    <row r="11" spans="1:5">
      <c r="A11" t="str">
        <f>IF(LEN(sWGA!E13)=0,"",sWGA!E13)</f>
        <v/>
      </c>
      <c r="B11" t="str">
        <f>IF(LEN(sWGA!F13)=0,"",sWGA!F13)</f>
        <v/>
      </c>
      <c r="C11" t="str">
        <f>IF(LEN(sWGA!G13)=0,"",sWGA!G13)</f>
        <v/>
      </c>
      <c r="D11" t="str">
        <f>IF(LEN(sWGA!H13)=0,"",sWGA!H13)</f>
        <v/>
      </c>
      <c r="E11" t="str">
        <f>IF(LEN(sWGA!K13)=0,"",sWGA!K13)</f>
        <v/>
      </c>
    </row>
    <row r="12" spans="1:5">
      <c r="A12" t="str">
        <f>IF(LEN(sWGA!E14)=0,"",sWGA!E14)</f>
        <v/>
      </c>
      <c r="B12" t="str">
        <f>IF(LEN(sWGA!F14)=0,"",sWGA!F14)</f>
        <v/>
      </c>
      <c r="C12" t="str">
        <f>IF(LEN(sWGA!G14)=0,"",sWGA!G14)</f>
        <v/>
      </c>
      <c r="D12" t="str">
        <f>IF(LEN(sWGA!H14)=0,"",sWGA!H14)</f>
        <v/>
      </c>
      <c r="E12" t="str">
        <f>IF(LEN(sWGA!K14)=0,"",sWGA!K14)</f>
        <v/>
      </c>
    </row>
    <row r="13" spans="1:5">
      <c r="A13" t="str">
        <f>IF(LEN(sWGA!E15)=0,"",sWGA!E15)</f>
        <v/>
      </c>
      <c r="B13" t="str">
        <f>IF(LEN(sWGA!F15)=0,"",sWGA!F15)</f>
        <v/>
      </c>
      <c r="C13" t="str">
        <f>IF(LEN(sWGA!G15)=0,"",sWGA!G15)</f>
        <v/>
      </c>
      <c r="D13" t="str">
        <f>IF(LEN(sWGA!H15)=0,"",sWGA!H15)</f>
        <v/>
      </c>
      <c r="E13" t="str">
        <f>IF(LEN(sWGA!K15)=0,"",sWGA!K15)</f>
        <v/>
      </c>
    </row>
    <row r="14" spans="1:5">
      <c r="A14" t="str">
        <f>IF(LEN(sWGA!E16)=0,"",sWGA!E16)</f>
        <v/>
      </c>
      <c r="B14" t="str">
        <f>IF(LEN(sWGA!F16)=0,"",sWGA!F16)</f>
        <v/>
      </c>
      <c r="C14" t="str">
        <f>IF(LEN(sWGA!G16)=0,"",sWGA!G16)</f>
        <v/>
      </c>
      <c r="D14" t="str">
        <f>IF(LEN(sWGA!H16)=0,"",sWGA!H16)</f>
        <v/>
      </c>
      <c r="E14" t="str">
        <f>IF(LEN(sWGA!K16)=0,"",sWGA!K16)</f>
        <v/>
      </c>
    </row>
    <row r="15" spans="1:5">
      <c r="A15" t="str">
        <f>IF(LEN(sWGA!E17)=0,"",sWGA!E17)</f>
        <v/>
      </c>
      <c r="B15" t="str">
        <f>IF(LEN(sWGA!F17)=0,"",sWGA!F17)</f>
        <v/>
      </c>
      <c r="C15" t="str">
        <f>IF(LEN(sWGA!G17)=0,"",sWGA!G17)</f>
        <v/>
      </c>
      <c r="D15" t="str">
        <f>IF(LEN(sWGA!H17)=0,"",sWGA!H17)</f>
        <v/>
      </c>
      <c r="E15" t="str">
        <f>IF(LEN(sWGA!K17)=0,"",sWGA!K17)</f>
        <v/>
      </c>
    </row>
    <row r="16" spans="1:5">
      <c r="A16" t="str">
        <f>IF(LEN(sWGA!E18)=0,"",sWGA!E18)</f>
        <v/>
      </c>
      <c r="B16" t="str">
        <f>IF(LEN(sWGA!F18)=0,"",sWGA!F18)</f>
        <v/>
      </c>
      <c r="C16" t="str">
        <f>IF(LEN(sWGA!G18)=0,"",sWGA!G18)</f>
        <v/>
      </c>
      <c r="D16" t="str">
        <f>IF(LEN(sWGA!H18)=0,"",sWGA!H18)</f>
        <v/>
      </c>
      <c r="E16" t="str">
        <f>IF(LEN(sWGA!K18)=0,"",sWGA!K18)</f>
        <v/>
      </c>
    </row>
    <row r="17" spans="1:5">
      <c r="A17" t="str">
        <f>IF(LEN(sWGA!E19)=0,"",sWGA!E19)</f>
        <v/>
      </c>
      <c r="B17" t="str">
        <f>IF(LEN(sWGA!F19)=0,"",sWGA!F19)</f>
        <v/>
      </c>
      <c r="C17" t="str">
        <f>IF(LEN(sWGA!G19)=0,"",sWGA!G19)</f>
        <v/>
      </c>
      <c r="D17" t="str">
        <f>IF(LEN(sWGA!H19)=0,"",sWGA!H19)</f>
        <v/>
      </c>
      <c r="E17" t="str">
        <f>IF(LEN(sWGA!K19)=0,"",sWGA!K19)</f>
        <v/>
      </c>
    </row>
    <row r="18" spans="1:5">
      <c r="A18" t="str">
        <f>IF(LEN(sWGA!E20)=0,"",sWGA!E20)</f>
        <v/>
      </c>
      <c r="B18" t="str">
        <f>IF(LEN(sWGA!F20)=0,"",sWGA!F20)</f>
        <v/>
      </c>
      <c r="C18" t="str">
        <f>IF(LEN(sWGA!G20)=0,"",sWGA!G20)</f>
        <v/>
      </c>
      <c r="D18" t="str">
        <f>IF(LEN(sWGA!H20)=0,"",sWGA!H20)</f>
        <v/>
      </c>
      <c r="E18" t="str">
        <f>IF(LEN(sWGA!K20)=0,"",sWGA!K20)</f>
        <v/>
      </c>
    </row>
    <row r="19" spans="1:5">
      <c r="A19" t="str">
        <f>IF(LEN(sWGA!E21)=0,"",sWGA!E21)</f>
        <v/>
      </c>
      <c r="B19" t="str">
        <f>IF(LEN(sWGA!F21)=0,"",sWGA!F21)</f>
        <v/>
      </c>
      <c r="C19" t="str">
        <f>IF(LEN(sWGA!G21)=0,"",sWGA!G21)</f>
        <v/>
      </c>
      <c r="D19" t="str">
        <f>IF(LEN(sWGA!H21)=0,"",sWGA!H21)</f>
        <v/>
      </c>
      <c r="E19" t="str">
        <f>IF(LEN(sWGA!K21)=0,"",sWGA!K21)</f>
        <v/>
      </c>
    </row>
    <row r="20" spans="1:5">
      <c r="A20" t="str">
        <f>IF(LEN(sWGA!E22)=0,"",sWGA!E22)</f>
        <v/>
      </c>
      <c r="B20" t="str">
        <f>IF(LEN(sWGA!F22)=0,"",sWGA!F22)</f>
        <v/>
      </c>
      <c r="C20" t="str">
        <f>IF(LEN(sWGA!G22)=0,"",sWGA!G22)</f>
        <v/>
      </c>
      <c r="D20" t="str">
        <f>IF(LEN(sWGA!H22)=0,"",sWGA!H22)</f>
        <v/>
      </c>
      <c r="E20" t="str">
        <f>IF(LEN(sWGA!K22)=0,"",sWGA!K22)</f>
        <v/>
      </c>
    </row>
    <row r="21" spans="1:5">
      <c r="A21" t="str">
        <f>IF(LEN(sWGA!E23)=0,"",sWGA!E23)</f>
        <v/>
      </c>
      <c r="B21" t="str">
        <f>IF(LEN(sWGA!F23)=0,"",sWGA!F23)</f>
        <v/>
      </c>
      <c r="C21" t="str">
        <f>IF(LEN(sWGA!G23)=0,"",sWGA!G23)</f>
        <v/>
      </c>
      <c r="D21" t="str">
        <f>IF(LEN(sWGA!H23)=0,"",sWGA!H23)</f>
        <v/>
      </c>
      <c r="E21" t="str">
        <f>IF(LEN(sWGA!K23)=0,"",sWGA!K23)</f>
        <v/>
      </c>
    </row>
    <row r="22" spans="1:5">
      <c r="A22" t="str">
        <f>IF(LEN(sWGA!E24)=0,"",sWGA!E24)</f>
        <v/>
      </c>
      <c r="B22" t="str">
        <f>IF(LEN(sWGA!F24)=0,"",sWGA!F24)</f>
        <v/>
      </c>
      <c r="C22" t="str">
        <f>IF(LEN(sWGA!G24)=0,"",sWGA!G24)</f>
        <v/>
      </c>
      <c r="D22" t="str">
        <f>IF(LEN(sWGA!H24)=0,"",sWGA!H24)</f>
        <v/>
      </c>
      <c r="E22" t="str">
        <f>IF(LEN(sWGA!K24)=0,"",sWGA!K24)</f>
        <v/>
      </c>
    </row>
    <row r="23" spans="1:5">
      <c r="A23" t="str">
        <f>IF(LEN(sWGA!E25)=0,"",sWGA!E25)</f>
        <v/>
      </c>
      <c r="B23" t="str">
        <f>IF(LEN(sWGA!F25)=0,"",sWGA!F25)</f>
        <v/>
      </c>
      <c r="C23" t="str">
        <f>IF(LEN(sWGA!G25)=0,"",sWGA!G25)</f>
        <v/>
      </c>
      <c r="D23" t="str">
        <f>IF(LEN(sWGA!H25)=0,"",sWGA!H25)</f>
        <v/>
      </c>
      <c r="E23" t="str">
        <f>IF(LEN(sWGA!K25)=0,"",sWGA!K25)</f>
        <v/>
      </c>
    </row>
    <row r="24" spans="1:5">
      <c r="A24" t="str">
        <f>IF(LEN(sWGA!E26)=0,"",sWGA!E26)</f>
        <v/>
      </c>
      <c r="B24" t="str">
        <f>IF(LEN(sWGA!F26)=0,"",sWGA!F26)</f>
        <v/>
      </c>
      <c r="C24" t="str">
        <f>IF(LEN(sWGA!G26)=0,"",sWGA!G26)</f>
        <v/>
      </c>
      <c r="D24" t="str">
        <f>IF(LEN(sWGA!H26)=0,"",sWGA!H26)</f>
        <v/>
      </c>
      <c r="E24" t="str">
        <f>IF(LEN(sWGA!K26)=0,"",sWGA!K26)</f>
        <v/>
      </c>
    </row>
    <row r="25" spans="1:5">
      <c r="A25" t="str">
        <f>IF(LEN(sWGA!E27)=0,"",sWGA!E27)</f>
        <v/>
      </c>
      <c r="B25" t="str">
        <f>IF(LEN(sWGA!F27)=0,"",sWGA!F27)</f>
        <v/>
      </c>
      <c r="C25" t="str">
        <f>IF(LEN(sWGA!G27)=0,"",sWGA!G27)</f>
        <v/>
      </c>
      <c r="D25" t="str">
        <f>IF(LEN(sWGA!H27)=0,"",sWGA!H27)</f>
        <v/>
      </c>
      <c r="E25" t="str">
        <f>IF(LEN(sWGA!K27)=0,"",sWGA!K27)</f>
        <v/>
      </c>
    </row>
    <row r="26" spans="1:5">
      <c r="A26" t="str">
        <f>IF(LEN(sWGA!E28)=0,"",sWGA!E28)</f>
        <v/>
      </c>
      <c r="B26" t="str">
        <f>IF(LEN(sWGA!F28)=0,"",sWGA!F28)</f>
        <v/>
      </c>
      <c r="C26" t="str">
        <f>IF(LEN(sWGA!G28)=0,"",sWGA!G28)</f>
        <v/>
      </c>
      <c r="D26" t="str">
        <f>IF(LEN(sWGA!H28)=0,"",sWGA!H28)</f>
        <v/>
      </c>
      <c r="E26" t="str">
        <f>IF(LEN(sWGA!K28)=0,"",sWGA!K28)</f>
        <v/>
      </c>
    </row>
    <row r="27" spans="1:5">
      <c r="A27" t="str">
        <f>IF(LEN(sWGA!E29)=0,"",sWGA!E29)</f>
        <v/>
      </c>
      <c r="B27" t="str">
        <f>IF(LEN(sWGA!F29)=0,"",sWGA!F29)</f>
        <v/>
      </c>
      <c r="C27" t="str">
        <f>IF(LEN(sWGA!G29)=0,"",sWGA!G29)</f>
        <v/>
      </c>
      <c r="D27" t="str">
        <f>IF(LEN(sWGA!H29)=0,"",sWGA!H29)</f>
        <v/>
      </c>
      <c r="E27" t="str">
        <f>IF(LEN(sWGA!K29)=0,"",sWGA!K29)</f>
        <v/>
      </c>
    </row>
    <row r="28" spans="1:5">
      <c r="A28" t="str">
        <f>IF(LEN(sWGA!E30)=0,"",sWGA!E30)</f>
        <v/>
      </c>
      <c r="B28" t="str">
        <f>IF(LEN(sWGA!F30)=0,"",sWGA!F30)</f>
        <v/>
      </c>
      <c r="C28" t="str">
        <f>IF(LEN(sWGA!G30)=0,"",sWGA!G30)</f>
        <v/>
      </c>
      <c r="D28" t="str">
        <f>IF(LEN(sWGA!H30)=0,"",sWGA!H30)</f>
        <v/>
      </c>
      <c r="E28" t="str">
        <f>IF(LEN(sWGA!K30)=0,"",sWGA!K30)</f>
        <v/>
      </c>
    </row>
    <row r="29" spans="1:5">
      <c r="A29" t="str">
        <f>IF(LEN(sWGA!E31)=0,"",sWGA!E31)</f>
        <v/>
      </c>
      <c r="B29" t="str">
        <f>IF(LEN(sWGA!F31)=0,"",sWGA!F31)</f>
        <v/>
      </c>
      <c r="C29" t="str">
        <f>IF(LEN(sWGA!G31)=0,"",sWGA!G31)</f>
        <v/>
      </c>
      <c r="D29" t="str">
        <f>IF(LEN(sWGA!H31)=0,"",sWGA!H31)</f>
        <v/>
      </c>
      <c r="E29" t="str">
        <f>IF(LEN(sWGA!K31)=0,"",sWGA!K31)</f>
        <v/>
      </c>
    </row>
    <row r="30" spans="1:5">
      <c r="A30" t="str">
        <f>IF(LEN(sWGA!E32)=0,"",sWGA!E32)</f>
        <v/>
      </c>
      <c r="B30" t="str">
        <f>IF(LEN(sWGA!F32)=0,"",sWGA!F32)</f>
        <v/>
      </c>
      <c r="C30" t="str">
        <f>IF(LEN(sWGA!G32)=0,"",sWGA!G32)</f>
        <v/>
      </c>
      <c r="D30" t="str">
        <f>IF(LEN(sWGA!H32)=0,"",sWGA!H32)</f>
        <v/>
      </c>
      <c r="E30" t="str">
        <f>IF(LEN(sWGA!K32)=0,"",sWGA!K32)</f>
        <v/>
      </c>
    </row>
    <row r="31" spans="1:5">
      <c r="A31" t="str">
        <f>IF(LEN(sWGA!E33)=0,"",sWGA!E33)</f>
        <v/>
      </c>
      <c r="B31" t="str">
        <f>IF(LEN(sWGA!F33)=0,"",sWGA!F33)</f>
        <v/>
      </c>
      <c r="C31" t="str">
        <f>IF(LEN(sWGA!G33)=0,"",sWGA!G33)</f>
        <v/>
      </c>
      <c r="D31" t="str">
        <f>IF(LEN(sWGA!H33)=0,"",sWGA!H33)</f>
        <v/>
      </c>
      <c r="E31" t="str">
        <f>IF(LEN(sWGA!K33)=0,"",sWGA!K33)</f>
        <v/>
      </c>
    </row>
    <row r="32" spans="1:5">
      <c r="A32" t="str">
        <f>IF(LEN(sWGA!E34)=0,"",sWGA!E34)</f>
        <v/>
      </c>
      <c r="B32" t="str">
        <f>IF(LEN(sWGA!F34)=0,"",sWGA!F34)</f>
        <v/>
      </c>
      <c r="C32" t="str">
        <f>IF(LEN(sWGA!G34)=0,"",sWGA!G34)</f>
        <v/>
      </c>
      <c r="D32" t="str">
        <f>IF(LEN(sWGA!H34)=0,"",sWGA!H34)</f>
        <v/>
      </c>
      <c r="E32" t="str">
        <f>IF(LEN(sWGA!K34)=0,"",sWGA!K34)</f>
        <v/>
      </c>
    </row>
    <row r="33" spans="1:5">
      <c r="A33" t="str">
        <f>IF(LEN(sWGA!E35)=0,"",sWGA!E35)</f>
        <v/>
      </c>
      <c r="B33" t="str">
        <f>IF(LEN(sWGA!F35)=0,"",sWGA!F35)</f>
        <v/>
      </c>
      <c r="C33" t="str">
        <f>IF(LEN(sWGA!G35)=0,"",sWGA!G35)</f>
        <v/>
      </c>
      <c r="D33" t="str">
        <f>IF(LEN(sWGA!H35)=0,"",sWGA!H35)</f>
        <v/>
      </c>
      <c r="E33" t="str">
        <f>IF(LEN(sWGA!K35)=0,"",sWGA!K35)</f>
        <v/>
      </c>
    </row>
    <row r="34" spans="1:5">
      <c r="A34" t="str">
        <f>IF(LEN(sWGA!E36)=0,"",sWGA!E36)</f>
        <v/>
      </c>
      <c r="B34" t="str">
        <f>IF(LEN(sWGA!F36)=0,"",sWGA!F36)</f>
        <v/>
      </c>
      <c r="C34" t="str">
        <f>IF(LEN(sWGA!G36)=0,"",sWGA!G36)</f>
        <v/>
      </c>
      <c r="D34" t="str">
        <f>IF(LEN(sWGA!H36)=0,"",sWGA!H36)</f>
        <v/>
      </c>
      <c r="E34" t="str">
        <f>IF(LEN(sWGA!K36)=0,"",sWGA!K36)</f>
        <v/>
      </c>
    </row>
    <row r="35" spans="1:5">
      <c r="A35" t="str">
        <f>IF(LEN(sWGA!E37)=0,"",sWGA!E37)</f>
        <v/>
      </c>
      <c r="B35" t="str">
        <f>IF(LEN(sWGA!F37)=0,"",sWGA!F37)</f>
        <v/>
      </c>
      <c r="C35" t="str">
        <f>IF(LEN(sWGA!G37)=0,"",sWGA!G37)</f>
        <v/>
      </c>
      <c r="D35" t="str">
        <f>IF(LEN(sWGA!H37)=0,"",sWGA!H37)</f>
        <v/>
      </c>
      <c r="E35" t="str">
        <f>IF(LEN(sWGA!K37)=0,"",sWGA!K37)</f>
        <v/>
      </c>
    </row>
    <row r="36" spans="1:5">
      <c r="A36" t="str">
        <f>IF(LEN(sWGA!E38)=0,"",sWGA!E38)</f>
        <v/>
      </c>
      <c r="B36" t="str">
        <f>IF(LEN(sWGA!F38)=0,"",sWGA!F38)</f>
        <v/>
      </c>
      <c r="C36" t="str">
        <f>IF(LEN(sWGA!G38)=0,"",sWGA!G38)</f>
        <v/>
      </c>
      <c r="D36" t="str">
        <f>IF(LEN(sWGA!H38)=0,"",sWGA!H38)</f>
        <v/>
      </c>
      <c r="E36" t="str">
        <f>IF(LEN(sWGA!K38)=0,"",sWGA!K38)</f>
        <v/>
      </c>
    </row>
    <row r="37" spans="1:5">
      <c r="A37" t="str">
        <f>IF(LEN(sWGA!E39)=0,"",sWGA!E39)</f>
        <v/>
      </c>
      <c r="B37" t="str">
        <f>IF(LEN(sWGA!F39)=0,"",sWGA!F39)</f>
        <v/>
      </c>
      <c r="C37" t="str">
        <f>IF(LEN(sWGA!G39)=0,"",sWGA!G39)</f>
        <v/>
      </c>
      <c r="D37" t="str">
        <f>IF(LEN(sWGA!H39)=0,"",sWGA!H39)</f>
        <v/>
      </c>
      <c r="E37" t="str">
        <f>IF(LEN(sWGA!K39)=0,"",sWGA!K39)</f>
        <v/>
      </c>
    </row>
    <row r="38" spans="1:5">
      <c r="A38" t="str">
        <f>IF(LEN(sWGA!E40)=0,"",sWGA!E40)</f>
        <v/>
      </c>
      <c r="B38" t="str">
        <f>IF(LEN(sWGA!F40)=0,"",sWGA!F40)</f>
        <v/>
      </c>
      <c r="C38" t="str">
        <f>IF(LEN(sWGA!G40)=0,"",sWGA!G40)</f>
        <v/>
      </c>
      <c r="D38" t="str">
        <f>IF(LEN(sWGA!H40)=0,"",sWGA!H40)</f>
        <v/>
      </c>
      <c r="E38" t="str">
        <f>IF(LEN(sWGA!K40)=0,"",sWGA!K40)</f>
        <v/>
      </c>
    </row>
    <row r="39" spans="1:5">
      <c r="A39" t="str">
        <f>IF(LEN(sWGA!E41)=0,"",sWGA!E41)</f>
        <v/>
      </c>
      <c r="B39" t="str">
        <f>IF(LEN(sWGA!F41)=0,"",sWGA!F41)</f>
        <v/>
      </c>
      <c r="C39" t="str">
        <f>IF(LEN(sWGA!G41)=0,"",sWGA!G41)</f>
        <v/>
      </c>
      <c r="D39" t="str">
        <f>IF(LEN(sWGA!H41)=0,"",sWGA!H41)</f>
        <v/>
      </c>
      <c r="E39" t="str">
        <f>IF(LEN(sWGA!K41)=0,"",sWGA!K41)</f>
        <v/>
      </c>
    </row>
    <row r="40" spans="1:5">
      <c r="A40" t="str">
        <f>IF(LEN(sWGA!E42)=0,"",sWGA!E42)</f>
        <v/>
      </c>
      <c r="B40" t="str">
        <f>IF(LEN(sWGA!F42)=0,"",sWGA!F42)</f>
        <v/>
      </c>
      <c r="C40" t="str">
        <f>IF(LEN(sWGA!G42)=0,"",sWGA!G42)</f>
        <v/>
      </c>
      <c r="D40" t="str">
        <f>IF(LEN(sWGA!H42)=0,"",sWGA!H42)</f>
        <v/>
      </c>
      <c r="E40" t="str">
        <f>IF(LEN(sWGA!K42)=0,"",sWGA!K42)</f>
        <v/>
      </c>
    </row>
    <row r="41" spans="1:5">
      <c r="A41" t="str">
        <f>IF(LEN(sWGA!E43)=0,"",sWGA!E43)</f>
        <v/>
      </c>
      <c r="B41" t="str">
        <f>IF(LEN(sWGA!F43)=0,"",sWGA!F43)</f>
        <v/>
      </c>
      <c r="C41" t="str">
        <f>IF(LEN(sWGA!G43)=0,"",sWGA!G43)</f>
        <v/>
      </c>
      <c r="D41" t="str">
        <f>IF(LEN(sWGA!H43)=0,"",sWGA!H43)</f>
        <v/>
      </c>
      <c r="E41" t="str">
        <f>IF(LEN(sWGA!K43)=0,"",sWGA!K43)</f>
        <v/>
      </c>
    </row>
    <row r="42" spans="1:5">
      <c r="A42" t="str">
        <f>IF(LEN(sWGA!E44)=0,"",sWGA!E44)</f>
        <v/>
      </c>
      <c r="B42" t="str">
        <f>IF(LEN(sWGA!F44)=0,"",sWGA!F44)</f>
        <v/>
      </c>
      <c r="C42" t="str">
        <f>IF(LEN(sWGA!G44)=0,"",sWGA!G44)</f>
        <v/>
      </c>
      <c r="D42" t="str">
        <f>IF(LEN(sWGA!H44)=0,"",sWGA!H44)</f>
        <v/>
      </c>
      <c r="E42" t="str">
        <f>IF(LEN(sWGA!K44)=0,"",sWGA!K44)</f>
        <v/>
      </c>
    </row>
    <row r="43" spans="1:5">
      <c r="A43" t="str">
        <f>IF(LEN(sWGA!E45)=0,"",sWGA!E45)</f>
        <v/>
      </c>
      <c r="B43" t="str">
        <f>IF(LEN(sWGA!F45)=0,"",sWGA!F45)</f>
        <v/>
      </c>
      <c r="C43" t="str">
        <f>IF(LEN(sWGA!G45)=0,"",sWGA!G45)</f>
        <v/>
      </c>
      <c r="D43" t="str">
        <f>IF(LEN(sWGA!H45)=0,"",sWGA!H45)</f>
        <v/>
      </c>
      <c r="E43" t="str">
        <f>IF(LEN(sWGA!K45)=0,"",sWGA!K45)</f>
        <v/>
      </c>
    </row>
    <row r="44" spans="1:5">
      <c r="A44" t="str">
        <f>IF(LEN(sWGA!E46)=0,"",sWGA!E46)</f>
        <v/>
      </c>
      <c r="B44" t="str">
        <f>IF(LEN(sWGA!F46)=0,"",sWGA!F46)</f>
        <v/>
      </c>
      <c r="C44" t="str">
        <f>IF(LEN(sWGA!G46)=0,"",sWGA!G46)</f>
        <v/>
      </c>
      <c r="D44" t="str">
        <f>IF(LEN(sWGA!H46)=0,"",sWGA!H46)</f>
        <v/>
      </c>
      <c r="E44" t="str">
        <f>IF(LEN(sWGA!K46)=0,"",sWGA!K46)</f>
        <v/>
      </c>
    </row>
    <row r="45" spans="1:5">
      <c r="A45" t="str">
        <f>IF(LEN(sWGA!E47)=0,"",sWGA!E47)</f>
        <v/>
      </c>
      <c r="B45" t="str">
        <f>IF(LEN(sWGA!F47)=0,"",sWGA!F47)</f>
        <v/>
      </c>
      <c r="C45" t="str">
        <f>IF(LEN(sWGA!G47)=0,"",sWGA!G47)</f>
        <v/>
      </c>
      <c r="D45" t="str">
        <f>IF(LEN(sWGA!H47)=0,"",sWGA!H47)</f>
        <v/>
      </c>
      <c r="E45" t="str">
        <f>IF(LEN(sWGA!K47)=0,"",sWGA!K47)</f>
        <v/>
      </c>
    </row>
    <row r="46" spans="1:5">
      <c r="A46" t="str">
        <f>IF(LEN(sWGA!E48)=0,"",sWGA!E48)</f>
        <v/>
      </c>
      <c r="B46" t="str">
        <f>IF(LEN(sWGA!F48)=0,"",sWGA!F48)</f>
        <v/>
      </c>
      <c r="C46" t="str">
        <f>IF(LEN(sWGA!G48)=0,"",sWGA!G48)</f>
        <v/>
      </c>
      <c r="D46" t="str">
        <f>IF(LEN(sWGA!H48)=0,"",sWGA!H48)</f>
        <v/>
      </c>
      <c r="E46" t="str">
        <f>IF(LEN(sWGA!K48)=0,"",sWGA!K48)</f>
        <v/>
      </c>
    </row>
    <row r="47" spans="1:5">
      <c r="A47" t="str">
        <f>IF(LEN(sWGA!E49)=0,"",sWGA!E49)</f>
        <v/>
      </c>
      <c r="B47" t="str">
        <f>IF(LEN(sWGA!F49)=0,"",sWGA!F49)</f>
        <v/>
      </c>
      <c r="C47" t="str">
        <f>IF(LEN(sWGA!G49)=0,"",sWGA!G49)</f>
        <v/>
      </c>
      <c r="D47" t="str">
        <f>IF(LEN(sWGA!H49)=0,"",sWGA!H49)</f>
        <v/>
      </c>
      <c r="E47" t="str">
        <f>IF(LEN(sWGA!K49)=0,"",sWGA!K49)</f>
        <v/>
      </c>
    </row>
    <row r="48" spans="1:5">
      <c r="A48" t="str">
        <f>IF(LEN(sWGA!E50)=0,"",sWGA!E50)</f>
        <v/>
      </c>
      <c r="B48" t="str">
        <f>IF(LEN(sWGA!F50)=0,"",sWGA!F50)</f>
        <v/>
      </c>
      <c r="C48" t="str">
        <f>IF(LEN(sWGA!G50)=0,"",sWGA!G50)</f>
        <v/>
      </c>
      <c r="D48" t="str">
        <f>IF(LEN(sWGA!H50)=0,"",sWGA!H50)</f>
        <v/>
      </c>
      <c r="E48" t="str">
        <f>IF(LEN(sWGA!K50)=0,"",sWGA!K50)</f>
        <v/>
      </c>
    </row>
    <row r="49" spans="1:5">
      <c r="A49" t="str">
        <f>IF(LEN(sWGA!E51)=0,"",sWGA!E51)</f>
        <v/>
      </c>
      <c r="B49" t="str">
        <f>IF(LEN(sWGA!F51)=0,"",sWGA!F51)</f>
        <v/>
      </c>
      <c r="C49" t="str">
        <f>IF(LEN(sWGA!G51)=0,"",sWGA!G51)</f>
        <v/>
      </c>
      <c r="D49" t="str">
        <f>IF(LEN(sWGA!H51)=0,"",sWGA!H51)</f>
        <v/>
      </c>
      <c r="E49" t="str">
        <f>IF(LEN(sWGA!K51)=0,"",sWGA!K51)</f>
        <v/>
      </c>
    </row>
    <row r="50" spans="1:5">
      <c r="A50" t="str">
        <f>IF(LEN(sWGA!E52)=0,"",sWGA!E52)</f>
        <v/>
      </c>
      <c r="B50" t="str">
        <f>IF(LEN(sWGA!F52)=0,"",sWGA!F52)</f>
        <v/>
      </c>
      <c r="C50" t="str">
        <f>IF(LEN(sWGA!G52)=0,"",sWGA!G52)</f>
        <v/>
      </c>
      <c r="D50" t="str">
        <f>IF(LEN(sWGA!H52)=0,"",sWGA!H52)</f>
        <v/>
      </c>
      <c r="E50" t="str">
        <f>IF(LEN(sWGA!K52)=0,"",sWGA!K52)</f>
        <v/>
      </c>
    </row>
    <row r="51" spans="1:5">
      <c r="A51" t="str">
        <f>IF(LEN(sWGA!E53)=0,"",sWGA!E53)</f>
        <v/>
      </c>
      <c r="B51" t="str">
        <f>IF(LEN(sWGA!F53)=0,"",sWGA!F53)</f>
        <v/>
      </c>
      <c r="C51" t="str">
        <f>IF(LEN(sWGA!G53)=0,"",sWGA!G53)</f>
        <v/>
      </c>
      <c r="D51" t="str">
        <f>IF(LEN(sWGA!H53)=0,"",sWGA!H53)</f>
        <v/>
      </c>
      <c r="E51" t="str">
        <f>IF(LEN(sWGA!K53)=0,"",sWGA!K53)</f>
        <v/>
      </c>
    </row>
    <row r="52" spans="1:5">
      <c r="A52" t="str">
        <f>IF(LEN(sWGA!E54)=0,"",sWGA!E54)</f>
        <v/>
      </c>
      <c r="B52" t="str">
        <f>IF(LEN(sWGA!F54)=0,"",sWGA!F54)</f>
        <v/>
      </c>
      <c r="C52" t="str">
        <f>IF(LEN(sWGA!G54)=0,"",sWGA!G54)</f>
        <v/>
      </c>
      <c r="D52" t="str">
        <f>IF(LEN(sWGA!H54)=0,"",sWGA!H54)</f>
        <v/>
      </c>
      <c r="E52" t="str">
        <f>IF(LEN(sWGA!K54)=0,"",sWGA!K54)</f>
        <v/>
      </c>
    </row>
    <row r="53" spans="1:5">
      <c r="A53" t="str">
        <f>IF(LEN(sWGA!E55)=0,"",sWGA!E55)</f>
        <v/>
      </c>
      <c r="B53" t="str">
        <f>IF(LEN(sWGA!F55)=0,"",sWGA!F55)</f>
        <v/>
      </c>
      <c r="C53" t="str">
        <f>IF(LEN(sWGA!G55)=0,"",sWGA!G55)</f>
        <v/>
      </c>
      <c r="D53" t="str">
        <f>IF(LEN(sWGA!H55)=0,"",sWGA!H55)</f>
        <v/>
      </c>
      <c r="E53" t="str">
        <f>IF(LEN(sWGA!K55)=0,"",sWGA!K55)</f>
        <v/>
      </c>
    </row>
    <row r="54" spans="1:5">
      <c r="A54" t="str">
        <f>IF(LEN(sWGA!E56)=0,"",sWGA!E56)</f>
        <v/>
      </c>
      <c r="B54" t="str">
        <f>IF(LEN(sWGA!F56)=0,"",sWGA!F56)</f>
        <v/>
      </c>
      <c r="C54" t="str">
        <f>IF(LEN(sWGA!G56)=0,"",sWGA!G56)</f>
        <v/>
      </c>
      <c r="D54" t="str">
        <f>IF(LEN(sWGA!H56)=0,"",sWGA!H56)</f>
        <v/>
      </c>
      <c r="E54" t="str">
        <f>IF(LEN(sWGA!K56)=0,"",sWGA!K56)</f>
        <v/>
      </c>
    </row>
    <row r="55" spans="1:5">
      <c r="A55" t="str">
        <f>IF(LEN(sWGA!E57)=0,"",sWGA!E57)</f>
        <v/>
      </c>
      <c r="B55" t="str">
        <f>IF(LEN(sWGA!F57)=0,"",sWGA!F57)</f>
        <v/>
      </c>
      <c r="C55" t="str">
        <f>IF(LEN(sWGA!G57)=0,"",sWGA!G57)</f>
        <v/>
      </c>
      <c r="D55" t="str">
        <f>IF(LEN(sWGA!H57)=0,"",sWGA!H57)</f>
        <v/>
      </c>
      <c r="E55" t="str">
        <f>IF(LEN(sWGA!K57)=0,"",sWGA!K57)</f>
        <v/>
      </c>
    </row>
    <row r="56" spans="1:5">
      <c r="A56" t="str">
        <f>IF(LEN(sWGA!E58)=0,"",sWGA!E58)</f>
        <v/>
      </c>
      <c r="B56" t="str">
        <f>IF(LEN(sWGA!F58)=0,"",sWGA!F58)</f>
        <v/>
      </c>
      <c r="C56" t="str">
        <f>IF(LEN(sWGA!G58)=0,"",sWGA!G58)</f>
        <v/>
      </c>
      <c r="D56" t="str">
        <f>IF(LEN(sWGA!H58)=0,"",sWGA!H58)</f>
        <v/>
      </c>
      <c r="E56" t="str">
        <f>IF(LEN(sWGA!K58)=0,"",sWGA!K58)</f>
        <v/>
      </c>
    </row>
    <row r="57" spans="1:5">
      <c r="A57" t="str">
        <f>IF(LEN(sWGA!E59)=0,"",sWGA!E59)</f>
        <v/>
      </c>
      <c r="B57" t="str">
        <f>IF(LEN(sWGA!F59)=0,"",sWGA!F59)</f>
        <v/>
      </c>
      <c r="C57" t="str">
        <f>IF(LEN(sWGA!G59)=0,"",sWGA!G59)</f>
        <v/>
      </c>
      <c r="D57" t="str">
        <f>IF(LEN(sWGA!H59)=0,"",sWGA!H59)</f>
        <v/>
      </c>
      <c r="E57" t="str">
        <f>IF(LEN(sWGA!K59)=0,"",sWGA!K59)</f>
        <v/>
      </c>
    </row>
    <row r="58" spans="1:5">
      <c r="A58" t="str">
        <f>IF(LEN(sWGA!E60)=0,"",sWGA!E60)</f>
        <v/>
      </c>
      <c r="B58" t="str">
        <f>IF(LEN(sWGA!F60)=0,"",sWGA!F60)</f>
        <v/>
      </c>
      <c r="C58" t="str">
        <f>IF(LEN(sWGA!G60)=0,"",sWGA!G60)</f>
        <v/>
      </c>
      <c r="D58" t="str">
        <f>IF(LEN(sWGA!H60)=0,"",sWGA!H60)</f>
        <v/>
      </c>
      <c r="E58" t="str">
        <f>IF(LEN(sWGA!K60)=0,"",sWGA!K60)</f>
        <v/>
      </c>
    </row>
    <row r="59" spans="1:5">
      <c r="A59" t="str">
        <f>IF(LEN(sWGA!E61)=0,"",sWGA!E61)</f>
        <v/>
      </c>
      <c r="B59" t="str">
        <f>IF(LEN(sWGA!F61)=0,"",sWGA!F61)</f>
        <v/>
      </c>
      <c r="C59" t="str">
        <f>IF(LEN(sWGA!G61)=0,"",sWGA!G61)</f>
        <v/>
      </c>
      <c r="D59" t="str">
        <f>IF(LEN(sWGA!H61)=0,"",sWGA!H61)</f>
        <v/>
      </c>
      <c r="E59" t="str">
        <f>IF(LEN(sWGA!K61)=0,"",sWGA!K61)</f>
        <v/>
      </c>
    </row>
    <row r="60" spans="1:5">
      <c r="A60" t="str">
        <f>IF(LEN(sWGA!E62)=0,"",sWGA!E62)</f>
        <v/>
      </c>
      <c r="B60" t="str">
        <f>IF(LEN(sWGA!F62)=0,"",sWGA!F62)</f>
        <v/>
      </c>
      <c r="C60" t="str">
        <f>IF(LEN(sWGA!G62)=0,"",sWGA!G62)</f>
        <v/>
      </c>
      <c r="D60" t="str">
        <f>IF(LEN(sWGA!H62)=0,"",sWGA!H62)</f>
        <v/>
      </c>
      <c r="E60" t="str">
        <f>IF(LEN(sWGA!K62)=0,"",sWGA!K62)</f>
        <v/>
      </c>
    </row>
    <row r="61" spans="1:5">
      <c r="A61" t="str">
        <f>IF(LEN(sWGA!E63)=0,"",sWGA!E63)</f>
        <v/>
      </c>
      <c r="B61" t="str">
        <f>IF(LEN(sWGA!F63)=0,"",sWGA!F63)</f>
        <v/>
      </c>
      <c r="C61" t="str">
        <f>IF(LEN(sWGA!G63)=0,"",sWGA!G63)</f>
        <v/>
      </c>
      <c r="D61" t="str">
        <f>IF(LEN(sWGA!H63)=0,"",sWGA!H63)</f>
        <v/>
      </c>
      <c r="E61" t="str">
        <f>IF(LEN(sWGA!K63)=0,"",sWGA!K63)</f>
        <v/>
      </c>
    </row>
    <row r="62" spans="1:5">
      <c r="A62" t="str">
        <f>IF(LEN(sWGA!E64)=0,"",sWGA!E64)</f>
        <v/>
      </c>
      <c r="B62" t="str">
        <f>IF(LEN(sWGA!F64)=0,"",sWGA!F64)</f>
        <v/>
      </c>
      <c r="C62" t="str">
        <f>IF(LEN(sWGA!G64)=0,"",sWGA!G64)</f>
        <v/>
      </c>
      <c r="D62" t="str">
        <f>IF(LEN(sWGA!H64)=0,"",sWGA!H64)</f>
        <v/>
      </c>
      <c r="E62" t="str">
        <f>IF(LEN(sWGA!K64)=0,"",sWGA!K64)</f>
        <v/>
      </c>
    </row>
    <row r="63" spans="1:5">
      <c r="A63" t="str">
        <f>IF(LEN(sWGA!E65)=0,"",sWGA!E65)</f>
        <v/>
      </c>
      <c r="B63" t="str">
        <f>IF(LEN(sWGA!F65)=0,"",sWGA!F65)</f>
        <v/>
      </c>
      <c r="C63" t="str">
        <f>IF(LEN(sWGA!G65)=0,"",sWGA!G65)</f>
        <v/>
      </c>
      <c r="D63" t="str">
        <f>IF(LEN(sWGA!H65)=0,"",sWGA!H65)</f>
        <v/>
      </c>
      <c r="E63" t="str">
        <f>IF(LEN(sWGA!K65)=0,"",sWGA!K65)</f>
        <v/>
      </c>
    </row>
    <row r="64" spans="1:5">
      <c r="A64" t="str">
        <f>IF(LEN(sWGA!E66)=0,"",sWGA!E66)</f>
        <v/>
      </c>
      <c r="B64" t="str">
        <f>IF(LEN(sWGA!F66)=0,"",sWGA!F66)</f>
        <v/>
      </c>
      <c r="C64" t="str">
        <f>IF(LEN(sWGA!G66)=0,"",sWGA!G66)</f>
        <v/>
      </c>
      <c r="D64" t="str">
        <f>IF(LEN(sWGA!H66)=0,"",sWGA!H66)</f>
        <v/>
      </c>
      <c r="E64" t="str">
        <f>IF(LEN(sWGA!K66)=0,"",sWGA!K66)</f>
        <v/>
      </c>
    </row>
    <row r="65" spans="1:5">
      <c r="A65" t="str">
        <f>IF(LEN(sWGA!E67)=0,"",sWGA!E67)</f>
        <v/>
      </c>
      <c r="B65" t="str">
        <f>IF(LEN(sWGA!F67)=0,"",sWGA!F67)</f>
        <v/>
      </c>
      <c r="C65" t="str">
        <f>IF(LEN(sWGA!G67)=0,"",sWGA!G67)</f>
        <v/>
      </c>
      <c r="D65" t="str">
        <f>IF(LEN(sWGA!H67)=0,"",sWGA!H67)</f>
        <v/>
      </c>
      <c r="E65" t="str">
        <f>IF(LEN(sWGA!K67)=0,"",sWGA!K67)</f>
        <v/>
      </c>
    </row>
    <row r="66" spans="1:5">
      <c r="A66" t="str">
        <f>IF(LEN(sWGA!E68)=0,"",sWGA!E68)</f>
        <v/>
      </c>
      <c r="B66" t="str">
        <f>IF(LEN(sWGA!F68)=0,"",sWGA!F68)</f>
        <v/>
      </c>
      <c r="C66" t="str">
        <f>IF(LEN(sWGA!G68)=0,"",sWGA!G68)</f>
        <v/>
      </c>
      <c r="D66" t="str">
        <f>IF(LEN(sWGA!H68)=0,"",sWGA!H68)</f>
        <v/>
      </c>
      <c r="E66" t="str">
        <f>IF(LEN(sWGA!K68)=0,"",sWGA!K68)</f>
        <v/>
      </c>
    </row>
    <row r="67" spans="1:5">
      <c r="A67" t="str">
        <f>IF(LEN(sWGA!E69)=0,"",sWGA!E69)</f>
        <v/>
      </c>
      <c r="B67" t="str">
        <f>IF(LEN(sWGA!F69)=0,"",sWGA!F69)</f>
        <v/>
      </c>
      <c r="C67" t="str">
        <f>IF(LEN(sWGA!G69)=0,"",sWGA!G69)</f>
        <v/>
      </c>
      <c r="D67" t="str">
        <f>IF(LEN(sWGA!H69)=0,"",sWGA!H69)</f>
        <v/>
      </c>
      <c r="E67" t="str">
        <f>IF(LEN(sWGA!K69)=0,"",sWGA!K69)</f>
        <v/>
      </c>
    </row>
    <row r="68" spans="1:5">
      <c r="A68" t="str">
        <f>IF(LEN(sWGA!E70)=0,"",sWGA!E70)</f>
        <v/>
      </c>
      <c r="B68" t="str">
        <f>IF(LEN(sWGA!F70)=0,"",sWGA!F70)</f>
        <v/>
      </c>
      <c r="C68" t="str">
        <f>IF(LEN(sWGA!G70)=0,"",sWGA!G70)</f>
        <v/>
      </c>
      <c r="D68" t="str">
        <f>IF(LEN(sWGA!H70)=0,"",sWGA!H70)</f>
        <v/>
      </c>
      <c r="E68" t="str">
        <f>IF(LEN(sWGA!K70)=0,"",sWGA!K70)</f>
        <v/>
      </c>
    </row>
    <row r="69" spans="1:5">
      <c r="A69" t="str">
        <f>IF(LEN(sWGA!E71)=0,"",sWGA!E71)</f>
        <v/>
      </c>
      <c r="B69" t="str">
        <f>IF(LEN(sWGA!F71)=0,"",sWGA!F71)</f>
        <v/>
      </c>
      <c r="C69" t="str">
        <f>IF(LEN(sWGA!G71)=0,"",sWGA!G71)</f>
        <v/>
      </c>
      <c r="D69" t="str">
        <f>IF(LEN(sWGA!H71)=0,"",sWGA!H71)</f>
        <v/>
      </c>
      <c r="E69" t="str">
        <f>IF(LEN(sWGA!K71)=0,"",sWGA!K71)</f>
        <v/>
      </c>
    </row>
    <row r="70" spans="1:5">
      <c r="A70" t="str">
        <f>IF(LEN(sWGA!E72)=0,"",sWGA!E72)</f>
        <v/>
      </c>
      <c r="B70" t="str">
        <f>IF(LEN(sWGA!F72)=0,"",sWGA!F72)</f>
        <v/>
      </c>
      <c r="C70" t="str">
        <f>IF(LEN(sWGA!G72)=0,"",sWGA!G72)</f>
        <v/>
      </c>
      <c r="D70" t="str">
        <f>IF(LEN(sWGA!H72)=0,"",sWGA!H72)</f>
        <v/>
      </c>
      <c r="E70" t="str">
        <f>IF(LEN(sWGA!K72)=0,"",sWGA!K72)</f>
        <v/>
      </c>
    </row>
    <row r="71" spans="1:5">
      <c r="A71" t="str">
        <f>IF(LEN(sWGA!E73)=0,"",sWGA!E73)</f>
        <v/>
      </c>
      <c r="B71" t="str">
        <f>IF(LEN(sWGA!F73)=0,"",sWGA!F73)</f>
        <v/>
      </c>
      <c r="C71" t="str">
        <f>IF(LEN(sWGA!G73)=0,"",sWGA!G73)</f>
        <v/>
      </c>
      <c r="D71" t="str">
        <f>IF(LEN(sWGA!H73)=0,"",sWGA!H73)</f>
        <v/>
      </c>
      <c r="E71" t="str">
        <f>IF(LEN(sWGA!K73)=0,"",sWGA!K73)</f>
        <v/>
      </c>
    </row>
    <row r="72" spans="1:5">
      <c r="A72" t="str">
        <f>IF(LEN(sWGA!E74)=0,"",sWGA!E74)</f>
        <v/>
      </c>
      <c r="B72" t="str">
        <f>IF(LEN(sWGA!F74)=0,"",sWGA!F74)</f>
        <v/>
      </c>
      <c r="C72" t="str">
        <f>IF(LEN(sWGA!G74)=0,"",sWGA!G74)</f>
        <v/>
      </c>
      <c r="D72" t="str">
        <f>IF(LEN(sWGA!H74)=0,"",sWGA!H74)</f>
        <v/>
      </c>
      <c r="E72" t="str">
        <f>IF(LEN(sWGA!K74)=0,"",sWGA!K74)</f>
        <v/>
      </c>
    </row>
    <row r="73" spans="1:5">
      <c r="A73" t="str">
        <f>IF(LEN(sWGA!E75)=0,"",sWGA!E75)</f>
        <v/>
      </c>
      <c r="B73" t="str">
        <f>IF(LEN(sWGA!F75)=0,"",sWGA!F75)</f>
        <v/>
      </c>
      <c r="C73" t="str">
        <f>IF(LEN(sWGA!G75)=0,"",sWGA!G75)</f>
        <v/>
      </c>
      <c r="D73" t="str">
        <f>IF(LEN(sWGA!H75)=0,"",sWGA!H75)</f>
        <v/>
      </c>
      <c r="E73" t="str">
        <f>IF(LEN(sWGA!K75)=0,"",sWGA!K75)</f>
        <v/>
      </c>
    </row>
    <row r="74" spans="1:5">
      <c r="A74" t="str">
        <f>IF(LEN(sWGA!E76)=0,"",sWGA!E76)</f>
        <v/>
      </c>
      <c r="B74" t="str">
        <f>IF(LEN(sWGA!F76)=0,"",sWGA!F76)</f>
        <v/>
      </c>
      <c r="C74" t="str">
        <f>IF(LEN(sWGA!G76)=0,"",sWGA!G76)</f>
        <v/>
      </c>
      <c r="D74" t="str">
        <f>IF(LEN(sWGA!H76)=0,"",sWGA!H76)</f>
        <v/>
      </c>
      <c r="E74" t="str">
        <f>IF(LEN(sWGA!K76)=0,"",sWGA!K76)</f>
        <v/>
      </c>
    </row>
    <row r="75" spans="1:5">
      <c r="A75" t="str">
        <f>IF(LEN(sWGA!E77)=0,"",sWGA!E77)</f>
        <v/>
      </c>
      <c r="B75" t="str">
        <f>IF(LEN(sWGA!F77)=0,"",sWGA!F77)</f>
        <v/>
      </c>
      <c r="C75" t="str">
        <f>IF(LEN(sWGA!G77)=0,"",sWGA!G77)</f>
        <v/>
      </c>
      <c r="D75" t="str">
        <f>IF(LEN(sWGA!H77)=0,"",sWGA!H77)</f>
        <v/>
      </c>
      <c r="E75" t="str">
        <f>IF(LEN(sWGA!K77)=0,"",sWGA!K77)</f>
        <v/>
      </c>
    </row>
    <row r="76" spans="1:5">
      <c r="A76" t="str">
        <f>IF(LEN(sWGA!E78)=0,"",sWGA!E78)</f>
        <v/>
      </c>
      <c r="B76" t="str">
        <f>IF(LEN(sWGA!F78)=0,"",sWGA!F78)</f>
        <v/>
      </c>
      <c r="C76" t="str">
        <f>IF(LEN(sWGA!G78)=0,"",sWGA!G78)</f>
        <v/>
      </c>
      <c r="D76" t="str">
        <f>IF(LEN(sWGA!H78)=0,"",sWGA!H78)</f>
        <v/>
      </c>
      <c r="E76" t="str">
        <f>IF(LEN(sWGA!K78)=0,"",sWGA!K78)</f>
        <v/>
      </c>
    </row>
    <row r="77" spans="1:5">
      <c r="A77" t="str">
        <f>IF(LEN(sWGA!E79)=0,"",sWGA!E79)</f>
        <v/>
      </c>
      <c r="B77" t="str">
        <f>IF(LEN(sWGA!F79)=0,"",sWGA!F79)</f>
        <v/>
      </c>
      <c r="C77" t="str">
        <f>IF(LEN(sWGA!G79)=0,"",sWGA!G79)</f>
        <v/>
      </c>
      <c r="D77" t="str">
        <f>IF(LEN(sWGA!H79)=0,"",sWGA!H79)</f>
        <v/>
      </c>
      <c r="E77" t="str">
        <f>IF(LEN(sWGA!K79)=0,"",sWGA!K79)</f>
        <v/>
      </c>
    </row>
    <row r="78" spans="1:5">
      <c r="A78" t="str">
        <f>IF(LEN(sWGA!E80)=0,"",sWGA!E80)</f>
        <v/>
      </c>
      <c r="B78" t="str">
        <f>IF(LEN(sWGA!F80)=0,"",sWGA!F80)</f>
        <v/>
      </c>
      <c r="C78" t="str">
        <f>IF(LEN(sWGA!G80)=0,"",sWGA!G80)</f>
        <v/>
      </c>
      <c r="D78" t="str">
        <f>IF(LEN(sWGA!H80)=0,"",sWGA!H80)</f>
        <v/>
      </c>
      <c r="E78" t="str">
        <f>IF(LEN(sWGA!K80)=0,"",sWGA!K80)</f>
        <v/>
      </c>
    </row>
    <row r="79" spans="1:5">
      <c r="A79" t="str">
        <f>IF(LEN(sWGA!E81)=0,"",sWGA!E81)</f>
        <v/>
      </c>
      <c r="B79" t="str">
        <f>IF(LEN(sWGA!F81)=0,"",sWGA!F81)</f>
        <v/>
      </c>
      <c r="C79" t="str">
        <f>IF(LEN(sWGA!G81)=0,"",sWGA!G81)</f>
        <v/>
      </c>
      <c r="D79" t="str">
        <f>IF(LEN(sWGA!H81)=0,"",sWGA!H81)</f>
        <v/>
      </c>
      <c r="E79" t="str">
        <f>IF(LEN(sWGA!K81)=0,"",sWGA!K81)</f>
        <v/>
      </c>
    </row>
    <row r="80" spans="1:5">
      <c r="A80" t="str">
        <f>IF(LEN(sWGA!E82)=0,"",sWGA!E82)</f>
        <v/>
      </c>
      <c r="B80" t="str">
        <f>IF(LEN(sWGA!F82)=0,"",sWGA!F82)</f>
        <v/>
      </c>
      <c r="C80" t="str">
        <f>IF(LEN(sWGA!G82)=0,"",sWGA!G82)</f>
        <v/>
      </c>
      <c r="D80" t="str">
        <f>IF(LEN(sWGA!H82)=0,"",sWGA!H82)</f>
        <v/>
      </c>
      <c r="E80" t="str">
        <f>IF(LEN(sWGA!K82)=0,"",sWGA!K82)</f>
        <v/>
      </c>
    </row>
    <row r="81" spans="1:5">
      <c r="A81" t="str">
        <f>IF(LEN(sWGA!E83)=0,"",sWGA!E83)</f>
        <v/>
      </c>
      <c r="B81" t="str">
        <f>IF(LEN(sWGA!F83)=0,"",sWGA!F83)</f>
        <v/>
      </c>
      <c r="C81" t="str">
        <f>IF(LEN(sWGA!G83)=0,"",sWGA!G83)</f>
        <v/>
      </c>
      <c r="D81" t="str">
        <f>IF(LEN(sWGA!H83)=0,"",sWGA!H83)</f>
        <v/>
      </c>
      <c r="E81" t="str">
        <f>IF(LEN(sWGA!K83)=0,"",sWGA!K83)</f>
        <v/>
      </c>
    </row>
    <row r="82" spans="1:5">
      <c r="A82" t="str">
        <f>IF(LEN(sWGA!E84)=0,"",sWGA!E84)</f>
        <v/>
      </c>
      <c r="B82" t="str">
        <f>IF(LEN(sWGA!F84)=0,"",sWGA!F84)</f>
        <v/>
      </c>
      <c r="C82" t="str">
        <f>IF(LEN(sWGA!G84)=0,"",sWGA!G84)</f>
        <v/>
      </c>
      <c r="D82" t="str">
        <f>IF(LEN(sWGA!H84)=0,"",sWGA!H84)</f>
        <v/>
      </c>
      <c r="E82" t="str">
        <f>IF(LEN(sWGA!K84)=0,"",sWGA!K84)</f>
        <v/>
      </c>
    </row>
    <row r="83" spans="1:5">
      <c r="A83" t="str">
        <f>IF(LEN(sWGA!E85)=0,"",sWGA!E85)</f>
        <v/>
      </c>
      <c r="B83" t="str">
        <f>IF(LEN(sWGA!F85)=0,"",sWGA!F85)</f>
        <v/>
      </c>
      <c r="C83" t="str">
        <f>IF(LEN(sWGA!G85)=0,"",sWGA!G85)</f>
        <v/>
      </c>
      <c r="D83" t="str">
        <f>IF(LEN(sWGA!H85)=0,"",sWGA!H85)</f>
        <v/>
      </c>
      <c r="E83" t="str">
        <f>IF(LEN(sWGA!K85)=0,"",sWGA!K85)</f>
        <v/>
      </c>
    </row>
    <row r="84" spans="1:5">
      <c r="A84" t="str">
        <f>IF(LEN(sWGA!E86)=0,"",sWGA!E86)</f>
        <v/>
      </c>
      <c r="B84" t="str">
        <f>IF(LEN(sWGA!F86)=0,"",sWGA!F86)</f>
        <v/>
      </c>
      <c r="C84" t="str">
        <f>IF(LEN(sWGA!G86)=0,"",sWGA!G86)</f>
        <v/>
      </c>
      <c r="D84" t="str">
        <f>IF(LEN(sWGA!H86)=0,"",sWGA!H86)</f>
        <v/>
      </c>
      <c r="E84" t="str">
        <f>IF(LEN(sWGA!K86)=0,"",sWGA!K86)</f>
        <v/>
      </c>
    </row>
    <row r="85" spans="1:5">
      <c r="A85" t="str">
        <f>IF(LEN(sWGA!E87)=0,"",sWGA!E87)</f>
        <v/>
      </c>
      <c r="B85" t="str">
        <f>IF(LEN(sWGA!F87)=0,"",sWGA!F87)</f>
        <v/>
      </c>
      <c r="C85" t="str">
        <f>IF(LEN(sWGA!G87)=0,"",sWGA!G87)</f>
        <v/>
      </c>
      <c r="D85" t="str">
        <f>IF(LEN(sWGA!H87)=0,"",sWGA!H87)</f>
        <v/>
      </c>
      <c r="E85" t="str">
        <f>IF(LEN(sWGA!K87)=0,"",sWGA!K87)</f>
        <v/>
      </c>
    </row>
    <row r="86" spans="1:5">
      <c r="A86" t="str">
        <f>IF(LEN(sWGA!E88)=0,"",sWGA!E88)</f>
        <v/>
      </c>
      <c r="B86" t="str">
        <f>IF(LEN(sWGA!F88)=0,"",sWGA!F88)</f>
        <v/>
      </c>
      <c r="C86" t="str">
        <f>IF(LEN(sWGA!G88)=0,"",sWGA!G88)</f>
        <v/>
      </c>
      <c r="D86" t="str">
        <f>IF(LEN(sWGA!H88)=0,"",sWGA!H88)</f>
        <v/>
      </c>
      <c r="E86" t="str">
        <f>IF(LEN(sWGA!K88)=0,"",sWGA!K88)</f>
        <v/>
      </c>
    </row>
    <row r="87" spans="1:5">
      <c r="A87" t="str">
        <f>IF(LEN(sWGA!E89)=0,"",sWGA!E89)</f>
        <v/>
      </c>
      <c r="B87" t="str">
        <f>IF(LEN(sWGA!F89)=0,"",sWGA!F89)</f>
        <v/>
      </c>
      <c r="C87" t="str">
        <f>IF(LEN(sWGA!G89)=0,"",sWGA!G89)</f>
        <v/>
      </c>
      <c r="D87" t="str">
        <f>IF(LEN(sWGA!H89)=0,"",sWGA!H89)</f>
        <v/>
      </c>
      <c r="E87" t="str">
        <f>IF(LEN(sWGA!K89)=0,"",sWGA!K89)</f>
        <v/>
      </c>
    </row>
    <row r="88" spans="1:5">
      <c r="A88" t="str">
        <f>IF(LEN(sWGA!E90)=0,"",sWGA!E90)</f>
        <v/>
      </c>
      <c r="B88" t="str">
        <f>IF(LEN(sWGA!F90)=0,"",sWGA!F90)</f>
        <v/>
      </c>
      <c r="C88" t="str">
        <f>IF(LEN(sWGA!G90)=0,"",sWGA!G90)</f>
        <v/>
      </c>
      <c r="D88" t="str">
        <f>IF(LEN(sWGA!H90)=0,"",sWGA!H90)</f>
        <v/>
      </c>
      <c r="E88" t="str">
        <f>IF(LEN(sWGA!K90)=0,"",sWGA!K90)</f>
        <v/>
      </c>
    </row>
    <row r="89" spans="1:5">
      <c r="A89" t="str">
        <f>IF(LEN(sWGA!E91)=0,"",sWGA!E91)</f>
        <v/>
      </c>
      <c r="B89" t="str">
        <f>IF(LEN(sWGA!F91)=0,"",sWGA!F91)</f>
        <v/>
      </c>
      <c r="C89" t="str">
        <f>IF(LEN(sWGA!G91)=0,"",sWGA!G91)</f>
        <v/>
      </c>
      <c r="D89" t="str">
        <f>IF(LEN(sWGA!H91)=0,"",sWGA!H91)</f>
        <v/>
      </c>
      <c r="E89" t="str">
        <f>IF(LEN(sWGA!K91)=0,"",sWGA!K91)</f>
        <v/>
      </c>
    </row>
    <row r="90" spans="1:5">
      <c r="A90" t="str">
        <f>IF(LEN(sWGA!E92)=0,"",sWGA!E92)</f>
        <v/>
      </c>
      <c r="B90" t="str">
        <f>IF(LEN(sWGA!F92)=0,"",sWGA!F92)</f>
        <v/>
      </c>
      <c r="C90" t="str">
        <f>IF(LEN(sWGA!G92)=0,"",sWGA!G92)</f>
        <v/>
      </c>
      <c r="D90" t="str">
        <f>IF(LEN(sWGA!H92)=0,"",sWGA!H92)</f>
        <v/>
      </c>
      <c r="E90" t="str">
        <f>IF(LEN(sWGA!K92)=0,"",sWGA!K92)</f>
        <v/>
      </c>
    </row>
    <row r="91" spans="1:5">
      <c r="A91" t="str">
        <f>IF(LEN(sWGA!E93)=0,"",sWGA!E93)</f>
        <v/>
      </c>
      <c r="B91" t="str">
        <f>IF(LEN(sWGA!F93)=0,"",sWGA!F93)</f>
        <v/>
      </c>
      <c r="C91" t="str">
        <f>IF(LEN(sWGA!G93)=0,"",sWGA!G93)</f>
        <v/>
      </c>
      <c r="D91" t="str">
        <f>IF(LEN(sWGA!H93)=0,"",sWGA!H93)</f>
        <v/>
      </c>
      <c r="E91" t="str">
        <f>IF(LEN(sWGA!K93)=0,"",sWGA!K93)</f>
        <v/>
      </c>
    </row>
    <row r="92" spans="1:5">
      <c r="A92" t="str">
        <f>IF(LEN(sWGA!E94)=0,"",sWGA!E94)</f>
        <v/>
      </c>
      <c r="B92" t="str">
        <f>IF(LEN(sWGA!F94)=0,"",sWGA!F94)</f>
        <v/>
      </c>
      <c r="C92" t="str">
        <f>IF(LEN(sWGA!G94)=0,"",sWGA!G94)</f>
        <v/>
      </c>
      <c r="D92" t="str">
        <f>IF(LEN(sWGA!H94)=0,"",sWGA!H94)</f>
        <v/>
      </c>
      <c r="E92" t="str">
        <f>IF(LEN(sWGA!K94)=0,"",sWGA!K94)</f>
        <v/>
      </c>
    </row>
    <row r="93" spans="1:5">
      <c r="A93" t="str">
        <f>IF(LEN(sWGA!E95)=0,"",sWGA!E95)</f>
        <v/>
      </c>
      <c r="B93" t="str">
        <f>IF(LEN(sWGA!F95)=0,"",sWGA!F95)</f>
        <v/>
      </c>
      <c r="C93" t="str">
        <f>IF(LEN(sWGA!G95)=0,"",sWGA!G95)</f>
        <v/>
      </c>
      <c r="D93" t="str">
        <f>IF(LEN(sWGA!H95)=0,"",sWGA!H95)</f>
        <v/>
      </c>
      <c r="E93" t="str">
        <f>IF(LEN(sWGA!K95)=0,"",sWGA!K95)</f>
        <v/>
      </c>
    </row>
    <row r="94" spans="1:5">
      <c r="A94" t="str">
        <f>IF(LEN(sWGA!E96)=0,"",sWGA!E96)</f>
        <v/>
      </c>
      <c r="B94" t="str">
        <f>IF(LEN(sWGA!F96)=0,"",sWGA!F96)</f>
        <v/>
      </c>
      <c r="C94" t="str">
        <f>IF(LEN(sWGA!G96)=0,"",sWGA!G96)</f>
        <v/>
      </c>
      <c r="D94" t="str">
        <f>IF(LEN(sWGA!H96)=0,"",sWGA!H96)</f>
        <v/>
      </c>
      <c r="E94" t="str">
        <f>IF(LEN(sWGA!K96)=0,"",sWGA!K96)</f>
        <v/>
      </c>
    </row>
    <row r="95" spans="1:5">
      <c r="A95" t="str">
        <f>IF(LEN(sWGA!E97)=0,"",sWGA!E97)</f>
        <v/>
      </c>
      <c r="B95" t="str">
        <f>IF(LEN(sWGA!F97)=0,"",sWGA!F97)</f>
        <v/>
      </c>
      <c r="C95" t="str">
        <f>IF(LEN(sWGA!G97)=0,"",sWGA!G97)</f>
        <v/>
      </c>
      <c r="D95" t="str">
        <f>IF(LEN(sWGA!H97)=0,"",sWGA!H97)</f>
        <v/>
      </c>
      <c r="E95" t="str">
        <f>IF(LEN(sWGA!K97)=0,"",sWGA!K97)</f>
        <v/>
      </c>
    </row>
    <row r="96" spans="1:5">
      <c r="A96" t="str">
        <f>IF(LEN(sWGA!E98)=0,"",sWGA!E98)</f>
        <v/>
      </c>
      <c r="B96" t="str">
        <f>IF(LEN(sWGA!F98)=0,"",sWGA!F98)</f>
        <v/>
      </c>
      <c r="C96" t="str">
        <f>IF(LEN(sWGA!G98)=0,"",sWGA!G98)</f>
        <v/>
      </c>
      <c r="D96" t="str">
        <f>IF(LEN(sWGA!H98)=0,"",sWGA!H98)</f>
        <v/>
      </c>
      <c r="E96" t="str">
        <f>IF(LEN(sWGA!K98)=0,"",sWGA!K98)</f>
        <v/>
      </c>
    </row>
    <row r="97" spans="1:5">
      <c r="A97" t="str">
        <f>IF(LEN(sWGA!E99)=0,"",sWGA!E99)</f>
        <v/>
      </c>
      <c r="B97" t="str">
        <f>IF(LEN(sWGA!F99)=0,"",sWGA!F99)</f>
        <v/>
      </c>
      <c r="C97" t="str">
        <f>IF(LEN(sWGA!G99)=0,"",sWGA!G99)</f>
        <v/>
      </c>
      <c r="D97" t="str">
        <f>IF(LEN(sWGA!H99)=0,"",sWGA!H99)</f>
        <v/>
      </c>
      <c r="E97" t="str">
        <f>IF(LEN(sWGA!K99)=0,"",sWGA!K99)</f>
        <v/>
      </c>
    </row>
  </sheetData>
  <sheetProtection algorithmName="SHA-512" hashValue="sP7iNj0Ull/zZ7c051EzwEezgO6zMikGxQ1NE+/bS7sIiHP3FtxLA+xuHDhMC7+EoSOstTqlWI7IV4w9nTBOng==" saltValue="Uuk++W8OScqokrykUMt/Lg==" spinCount="100000" sheet="1" selectLockedCell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17</vt:i4>
      </vt:variant>
    </vt:vector>
  </HeadingPairs>
  <TitlesOfParts>
    <vt:vector size="22" baseType="lpstr">
      <vt:lpstr>Assay</vt:lpstr>
      <vt:lpstr>sWGA</vt:lpstr>
      <vt:lpstr>Reference</vt:lpstr>
      <vt:lpstr>expt_metadata</vt:lpstr>
      <vt:lpstr>rxn_metadata</vt:lpstr>
      <vt:lpstr>exp_date</vt:lpstr>
      <vt:lpstr>exp_id</vt:lpstr>
      <vt:lpstr>exp_notes</vt:lpstr>
      <vt:lpstr>exp_rxns</vt:lpstr>
      <vt:lpstr>exp_summary</vt:lpstr>
      <vt:lpstr>exp_type</vt:lpstr>
      <vt:lpstr>exp_version</vt:lpstr>
      <vt:lpstr>export_folder</vt:lpstr>
      <vt:lpstr>expt_summary</vt:lpstr>
      <vt:lpstr>expt_type</vt:lpstr>
      <vt:lpstr>swga_enzyme</vt:lpstr>
      <vt:lpstr>swga_notes</vt:lpstr>
      <vt:lpstr>swga_rxnvol</vt:lpstr>
      <vt:lpstr>swga_targetmass</vt:lpstr>
      <vt:lpstr>swga_template_maxvol</vt:lpstr>
      <vt:lpstr>user_initials</vt:lpstr>
      <vt:lpstr>user_name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Bridges</cp:lastModifiedBy>
  <cp:lastPrinted>2024-11-12T19:17:23Z</cp:lastPrinted>
  <dcterms:created xsi:type="dcterms:W3CDTF">2022-03-21T12:22:51Z</dcterms:created>
  <dcterms:modified xsi:type="dcterms:W3CDTF">2025-11-07T20:28:34Z</dcterms:modified>
</cp:coreProperties>
</file>