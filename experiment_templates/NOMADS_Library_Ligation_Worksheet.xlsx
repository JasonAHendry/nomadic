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git\nomadic\experiment_templates\"/>
    </mc:Choice>
  </mc:AlternateContent>
  <xr:revisionPtr revIDLastSave="0" documentId="13_ncr:1_{62A551FA-2150-4BD0-B6DA-A0A13D98678C}" xr6:coauthVersionLast="47" xr6:coauthVersionMax="47" xr10:uidLastSave="{00000000-0000-0000-0000-000000000000}"/>
  <bookViews>
    <workbookView xWindow="-108" yWindow="-108" windowWidth="27288" windowHeight="17532" tabRatio="500" activeTab="2" xr2:uid="{00000000-000D-0000-FFFF-FFFF00000000}"/>
  </bookViews>
  <sheets>
    <sheet name="Assay" sheetId="1" r:id="rId1"/>
    <sheet name="Library" sheetId="2" r:id="rId2"/>
    <sheet name="Reference" sheetId="4" r:id="rId3"/>
    <sheet name="expt_metadata" sheetId="5" state="hidden" r:id="rId4"/>
    <sheet name="rxn_metadata" sheetId="6" state="hidden" r:id="rId5"/>
  </sheets>
  <definedNames>
    <definedName name="adaptlig_dna_maxvol">Reference!$B$18</definedName>
    <definedName name="adaptlig_rxn_vol">Assay!$F$41</definedName>
    <definedName name="adaptlig_targetmass">Assay!$B$41</definedName>
    <definedName name="DNAconc_library">Assay!$G$55</definedName>
    <definedName name="DNAconc_pooled">Assay!$D$38</definedName>
    <definedName name="endrepair_maxvol">Reference!$B$17</definedName>
    <definedName name="endrepair_targetmass">Assay!$F$15</definedName>
    <definedName name="exp_date">Assay!$C$2</definedName>
    <definedName name="exp_id">Assay!$C$7</definedName>
    <definedName name="exp_notes">Assay!$C$11</definedName>
    <definedName name="exp_rxns">Assay!$C$10</definedName>
    <definedName name="exp_subtype">Reference!$B$27</definedName>
    <definedName name="exp_summary">Assay!$C$6</definedName>
    <definedName name="exp_type">Reference!$B$26</definedName>
    <definedName name="exp_version">Reference!$B$28</definedName>
    <definedName name="flowcell_checkpores">Assay!$C$58</definedName>
    <definedName name="flowcell_chemisty">Assay!#REF!</definedName>
    <definedName name="flowcell_id">Assay!#REF!</definedName>
    <definedName name="flowcell_maxvol">Reference!$B$19</definedName>
    <definedName name="flowcell_runduration">Assay!#REF!</definedName>
    <definedName name="flowcell_status">Assay!#REF!</definedName>
    <definedName name="flowcell_targetmass">Assay!$B$65</definedName>
    <definedName name="flowcell_usage_hrs">Assay!#REF!</definedName>
    <definedName name="library_washbuffer">Assay!$C$51</definedName>
    <definedName name="Minimum_final_pooled_DNA_conc">Reference!$B$20</definedName>
    <definedName name="missing_qc_resolution">Reference!$B$23</definedName>
    <definedName name="Post_PCR_target_DNA_conc">Reference!$B$21</definedName>
    <definedName name="seq_platform">Assay!#REF!</definedName>
    <definedName name="user_initials">Assay!$C$4</definedName>
    <definedName name="user_name">Assay!$C$3</definedName>
    <definedName name="vol_calc">Reference!$B$22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I3" i="2"/>
  <c r="I4" i="2"/>
  <c r="L4" i="2" s="1"/>
  <c r="I5" i="2"/>
  <c r="L5" i="2" s="1"/>
  <c r="I6" i="2"/>
  <c r="L6" i="2" s="1"/>
  <c r="S6" i="2" s="1"/>
  <c r="I7" i="2"/>
  <c r="L7" i="2" s="1"/>
  <c r="S7" i="2" s="1"/>
  <c r="I8" i="2"/>
  <c r="L8" i="2" s="1"/>
  <c r="I9" i="2"/>
  <c r="L9" i="2" s="1"/>
  <c r="I10" i="2"/>
  <c r="L10" i="2" s="1"/>
  <c r="I11" i="2"/>
  <c r="L11" i="2" s="1"/>
  <c r="I12" i="2"/>
  <c r="L12" i="2" s="1"/>
  <c r="S12" i="2" s="1"/>
  <c r="I13" i="2"/>
  <c r="L13" i="2" s="1"/>
  <c r="I14" i="2"/>
  <c r="L14" i="2" s="1"/>
  <c r="I15" i="2"/>
  <c r="L15" i="2" s="1"/>
  <c r="I16" i="2"/>
  <c r="L16" i="2" s="1"/>
  <c r="I17" i="2"/>
  <c r="L17" i="2" s="1"/>
  <c r="I18" i="2"/>
  <c r="L18" i="2" s="1"/>
  <c r="I19" i="2"/>
  <c r="I20" i="2"/>
  <c r="L20" i="2" s="1"/>
  <c r="I21" i="2"/>
  <c r="L21" i="2" s="1"/>
  <c r="I22" i="2"/>
  <c r="L22" i="2" s="1"/>
  <c r="I23" i="2"/>
  <c r="L23" i="2" s="1"/>
  <c r="I24" i="2"/>
  <c r="L24" i="2" s="1"/>
  <c r="I25" i="2"/>
  <c r="L25" i="2" s="1"/>
  <c r="I26" i="2"/>
  <c r="L26" i="2" s="1"/>
  <c r="I27" i="2"/>
  <c r="L27" i="2" s="1"/>
  <c r="I28" i="2"/>
  <c r="L28" i="2" s="1"/>
  <c r="I29" i="2"/>
  <c r="L29" i="2" s="1"/>
  <c r="I30" i="2"/>
  <c r="L30" i="2" s="1"/>
  <c r="I31" i="2"/>
  <c r="L31" i="2" s="1"/>
  <c r="I32" i="2"/>
  <c r="L32" i="2" s="1"/>
  <c r="I33" i="2"/>
  <c r="L33" i="2" s="1"/>
  <c r="I34" i="2"/>
  <c r="L34" i="2" s="1"/>
  <c r="I35" i="2"/>
  <c r="L35" i="2" s="1"/>
  <c r="I36" i="2"/>
  <c r="L36" i="2" s="1"/>
  <c r="I37" i="2"/>
  <c r="L37" i="2" s="1"/>
  <c r="I38" i="2"/>
  <c r="L38" i="2" s="1"/>
  <c r="I39" i="2"/>
  <c r="L39" i="2" s="1"/>
  <c r="I40" i="2"/>
  <c r="L40" i="2" s="1"/>
  <c r="I41" i="2"/>
  <c r="L41" i="2" s="1"/>
  <c r="I42" i="2"/>
  <c r="L42" i="2" s="1"/>
  <c r="I43" i="2"/>
  <c r="L43" i="2" s="1"/>
  <c r="I44" i="2"/>
  <c r="L44" i="2" s="1"/>
  <c r="I45" i="2"/>
  <c r="L45" i="2" s="1"/>
  <c r="I46" i="2"/>
  <c r="L46" i="2" s="1"/>
  <c r="I47" i="2"/>
  <c r="L47" i="2" s="1"/>
  <c r="I48" i="2"/>
  <c r="L48" i="2" s="1"/>
  <c r="I49" i="2"/>
  <c r="L49" i="2" s="1"/>
  <c r="I50" i="2"/>
  <c r="L50" i="2" s="1"/>
  <c r="I51" i="2"/>
  <c r="L51" i="2" s="1"/>
  <c r="I52" i="2"/>
  <c r="L52" i="2" s="1"/>
  <c r="I53" i="2"/>
  <c r="L53" i="2" s="1"/>
  <c r="I54" i="2"/>
  <c r="L54" i="2" s="1"/>
  <c r="I55" i="2"/>
  <c r="L55" i="2" s="1"/>
  <c r="I56" i="2"/>
  <c r="L56" i="2" s="1"/>
  <c r="I57" i="2"/>
  <c r="L57" i="2" s="1"/>
  <c r="I58" i="2"/>
  <c r="L58" i="2" s="1"/>
  <c r="I59" i="2"/>
  <c r="L59" i="2" s="1"/>
  <c r="I60" i="2"/>
  <c r="L60" i="2" s="1"/>
  <c r="I61" i="2"/>
  <c r="L61" i="2" s="1"/>
  <c r="I62" i="2"/>
  <c r="L62" i="2" s="1"/>
  <c r="I63" i="2"/>
  <c r="L63" i="2" s="1"/>
  <c r="I64" i="2"/>
  <c r="L64" i="2" s="1"/>
  <c r="I65" i="2"/>
  <c r="L65" i="2" s="1"/>
  <c r="I66" i="2"/>
  <c r="L66" i="2" s="1"/>
  <c r="I67" i="2"/>
  <c r="L67" i="2" s="1"/>
  <c r="I68" i="2"/>
  <c r="L68" i="2" s="1"/>
  <c r="I69" i="2"/>
  <c r="L69" i="2" s="1"/>
  <c r="I70" i="2"/>
  <c r="L70" i="2" s="1"/>
  <c r="I71" i="2"/>
  <c r="L71" i="2" s="1"/>
  <c r="I72" i="2"/>
  <c r="L72" i="2" s="1"/>
  <c r="I73" i="2"/>
  <c r="L73" i="2" s="1"/>
  <c r="I74" i="2"/>
  <c r="L74" i="2" s="1"/>
  <c r="I75" i="2"/>
  <c r="L75" i="2" s="1"/>
  <c r="I76" i="2"/>
  <c r="L76" i="2" s="1"/>
  <c r="I77" i="2"/>
  <c r="L77" i="2" s="1"/>
  <c r="I78" i="2"/>
  <c r="L78" i="2" s="1"/>
  <c r="I79" i="2"/>
  <c r="L79" i="2" s="1"/>
  <c r="I80" i="2"/>
  <c r="L80" i="2" s="1"/>
  <c r="I81" i="2"/>
  <c r="L81" i="2" s="1"/>
  <c r="I82" i="2"/>
  <c r="L82" i="2" s="1"/>
  <c r="I83" i="2"/>
  <c r="L83" i="2" s="1"/>
  <c r="I84" i="2"/>
  <c r="L84" i="2" s="1"/>
  <c r="I85" i="2"/>
  <c r="L85" i="2" s="1"/>
  <c r="I86" i="2"/>
  <c r="L86" i="2" s="1"/>
  <c r="I87" i="2"/>
  <c r="L87" i="2" s="1"/>
  <c r="I88" i="2"/>
  <c r="L88" i="2" s="1"/>
  <c r="I89" i="2"/>
  <c r="L89" i="2" s="1"/>
  <c r="I90" i="2"/>
  <c r="L90" i="2" s="1"/>
  <c r="I91" i="2"/>
  <c r="L91" i="2" s="1"/>
  <c r="I92" i="2"/>
  <c r="L92" i="2" s="1"/>
  <c r="I93" i="2"/>
  <c r="L93" i="2" s="1"/>
  <c r="I94" i="2"/>
  <c r="L94" i="2" s="1"/>
  <c r="I95" i="2"/>
  <c r="L95" i="2" s="1"/>
  <c r="I96" i="2"/>
  <c r="L96" i="2" s="1"/>
  <c r="I97" i="2"/>
  <c r="L97" i="2" s="1"/>
  <c r="I98" i="2"/>
  <c r="L98" i="2" s="1"/>
  <c r="J2" i="5"/>
  <c r="E2" i="5"/>
  <c r="Q98" i="2" l="1"/>
  <c r="S98" i="2"/>
  <c r="Q94" i="2"/>
  <c r="S94" i="2"/>
  <c r="Q90" i="2"/>
  <c r="S90" i="2"/>
  <c r="Q86" i="2"/>
  <c r="S86" i="2"/>
  <c r="Q82" i="2"/>
  <c r="S82" i="2"/>
  <c r="Q78" i="2"/>
  <c r="S78" i="2"/>
  <c r="Q74" i="2"/>
  <c r="S74" i="2"/>
  <c r="Q70" i="2"/>
  <c r="S70" i="2"/>
  <c r="Q66" i="2"/>
  <c r="S66" i="2"/>
  <c r="Q62" i="2"/>
  <c r="S62" i="2"/>
  <c r="Q58" i="2"/>
  <c r="S58" i="2"/>
  <c r="Q54" i="2"/>
  <c r="S54" i="2"/>
  <c r="Q50" i="2"/>
  <c r="S50" i="2"/>
  <c r="Q46" i="2"/>
  <c r="S46" i="2"/>
  <c r="Q42" i="2"/>
  <c r="S42" i="2"/>
  <c r="Q38" i="2"/>
  <c r="S38" i="2"/>
  <c r="Q34" i="2"/>
  <c r="S34" i="2"/>
  <c r="Q30" i="2"/>
  <c r="S30" i="2"/>
  <c r="Q26" i="2"/>
  <c r="S26" i="2"/>
  <c r="Q22" i="2"/>
  <c r="S22" i="2"/>
  <c r="Q18" i="2"/>
  <c r="S18" i="2"/>
  <c r="Q14" i="2"/>
  <c r="S14" i="2"/>
  <c r="Q10" i="2"/>
  <c r="S10" i="2"/>
  <c r="Q97" i="2"/>
  <c r="S97" i="2"/>
  <c r="Q93" i="2"/>
  <c r="S93" i="2"/>
  <c r="Q89" i="2"/>
  <c r="S89" i="2"/>
  <c r="Q85" i="2"/>
  <c r="S85" i="2"/>
  <c r="Q81" i="2"/>
  <c r="S81" i="2"/>
  <c r="Q77" i="2"/>
  <c r="S77" i="2"/>
  <c r="Q73" i="2"/>
  <c r="S73" i="2"/>
  <c r="Q69" i="2"/>
  <c r="S69" i="2"/>
  <c r="Q65" i="2"/>
  <c r="S65" i="2"/>
  <c r="Q61" i="2"/>
  <c r="S61" i="2"/>
  <c r="Q57" i="2"/>
  <c r="S57" i="2"/>
  <c r="Q53" i="2"/>
  <c r="S53" i="2"/>
  <c r="Q49" i="2"/>
  <c r="S49" i="2"/>
  <c r="Q45" i="2"/>
  <c r="S45" i="2"/>
  <c r="Q41" i="2"/>
  <c r="S41" i="2"/>
  <c r="Q37" i="2"/>
  <c r="S37" i="2"/>
  <c r="Q33" i="2"/>
  <c r="S33" i="2"/>
  <c r="Q29" i="2"/>
  <c r="S29" i="2"/>
  <c r="Q25" i="2"/>
  <c r="S25" i="2"/>
  <c r="Q21" i="2"/>
  <c r="S21" i="2"/>
  <c r="Q17" i="2"/>
  <c r="S17" i="2"/>
  <c r="Q13" i="2"/>
  <c r="S13" i="2"/>
  <c r="Q9" i="2"/>
  <c r="S9" i="2"/>
  <c r="Q5" i="2"/>
  <c r="S5" i="2"/>
  <c r="Q96" i="2"/>
  <c r="S96" i="2"/>
  <c r="Q92" i="2"/>
  <c r="S92" i="2"/>
  <c r="Q88" i="2"/>
  <c r="S88" i="2"/>
  <c r="Q84" i="2"/>
  <c r="S84" i="2"/>
  <c r="Q80" i="2"/>
  <c r="S80" i="2"/>
  <c r="Q76" i="2"/>
  <c r="S76" i="2"/>
  <c r="Q72" i="2"/>
  <c r="S72" i="2"/>
  <c r="Q68" i="2"/>
  <c r="S68" i="2"/>
  <c r="Q64" i="2"/>
  <c r="S64" i="2"/>
  <c r="Q60" i="2"/>
  <c r="S60" i="2"/>
  <c r="Q56" i="2"/>
  <c r="S56" i="2"/>
  <c r="Q52" i="2"/>
  <c r="S52" i="2"/>
  <c r="Q48" i="2"/>
  <c r="S48" i="2"/>
  <c r="Q44" i="2"/>
  <c r="S44" i="2"/>
  <c r="Q40" i="2"/>
  <c r="S40" i="2"/>
  <c r="Q36" i="2"/>
  <c r="S36" i="2"/>
  <c r="Q32" i="2"/>
  <c r="S32" i="2"/>
  <c r="Q28" i="2"/>
  <c r="S28" i="2"/>
  <c r="Q24" i="2"/>
  <c r="S24" i="2"/>
  <c r="Q20" i="2"/>
  <c r="S20" i="2"/>
  <c r="Q16" i="2"/>
  <c r="S16" i="2"/>
  <c r="Q8" i="2"/>
  <c r="S8" i="2"/>
  <c r="Q95" i="2"/>
  <c r="S95" i="2"/>
  <c r="Q91" i="2"/>
  <c r="S91" i="2"/>
  <c r="Q87" i="2"/>
  <c r="S87" i="2"/>
  <c r="Q83" i="2"/>
  <c r="S83" i="2"/>
  <c r="Q79" i="2"/>
  <c r="S79" i="2"/>
  <c r="Q75" i="2"/>
  <c r="S75" i="2"/>
  <c r="Q71" i="2"/>
  <c r="S71" i="2"/>
  <c r="Q67" i="2"/>
  <c r="S67" i="2"/>
  <c r="Q63" i="2"/>
  <c r="S63" i="2"/>
  <c r="Q59" i="2"/>
  <c r="S59" i="2"/>
  <c r="Q55" i="2"/>
  <c r="S55" i="2"/>
  <c r="Q51" i="2"/>
  <c r="S51" i="2"/>
  <c r="Q47" i="2"/>
  <c r="S47" i="2"/>
  <c r="Q43" i="2"/>
  <c r="S43" i="2"/>
  <c r="Q39" i="2"/>
  <c r="S39" i="2"/>
  <c r="Q35" i="2"/>
  <c r="S35" i="2"/>
  <c r="Q31" i="2"/>
  <c r="S31" i="2"/>
  <c r="Q27" i="2"/>
  <c r="S27" i="2"/>
  <c r="Q23" i="2"/>
  <c r="S23" i="2"/>
  <c r="Q15" i="2"/>
  <c r="S15" i="2"/>
  <c r="Q11" i="2"/>
  <c r="S11" i="2"/>
  <c r="L19" i="2"/>
  <c r="L3" i="2"/>
  <c r="S3" i="2" s="1"/>
  <c r="Q19" i="2" l="1"/>
  <c r="S19" i="2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2" i="6"/>
  <c r="P3" i="2" l="1"/>
  <c r="P7" i="2"/>
  <c r="P11" i="2"/>
  <c r="P15" i="2"/>
  <c r="P19" i="2"/>
  <c r="P23" i="2"/>
  <c r="P27" i="2"/>
  <c r="P31" i="2"/>
  <c r="P35" i="2"/>
  <c r="P39" i="2"/>
  <c r="P43" i="2"/>
  <c r="P47" i="2"/>
  <c r="P51" i="2"/>
  <c r="P55" i="2"/>
  <c r="P59" i="2"/>
  <c r="P63" i="2"/>
  <c r="P67" i="2"/>
  <c r="P71" i="2"/>
  <c r="P75" i="2"/>
  <c r="P79" i="2"/>
  <c r="P83" i="2"/>
  <c r="P87" i="2"/>
  <c r="P91" i="2"/>
  <c r="P95" i="2"/>
  <c r="P4" i="2"/>
  <c r="P8" i="2"/>
  <c r="P12" i="2"/>
  <c r="P16" i="2"/>
  <c r="P20" i="2"/>
  <c r="P24" i="2"/>
  <c r="P28" i="2"/>
  <c r="P32" i="2"/>
  <c r="P36" i="2"/>
  <c r="P40" i="2"/>
  <c r="P44" i="2"/>
  <c r="P48" i="2"/>
  <c r="P52" i="2"/>
  <c r="P56" i="2"/>
  <c r="P60" i="2"/>
  <c r="P64" i="2"/>
  <c r="P68" i="2"/>
  <c r="P72" i="2"/>
  <c r="P76" i="2"/>
  <c r="P80" i="2"/>
  <c r="P84" i="2"/>
  <c r="P88" i="2"/>
  <c r="P92" i="2"/>
  <c r="P96" i="2"/>
  <c r="P5" i="2"/>
  <c r="P9" i="2"/>
  <c r="P13" i="2"/>
  <c r="P17" i="2"/>
  <c r="P21" i="2"/>
  <c r="P25" i="2"/>
  <c r="P29" i="2"/>
  <c r="P33" i="2"/>
  <c r="P37" i="2"/>
  <c r="P41" i="2"/>
  <c r="P45" i="2"/>
  <c r="P49" i="2"/>
  <c r="P53" i="2"/>
  <c r="P57" i="2"/>
  <c r="P61" i="2"/>
  <c r="P65" i="2"/>
  <c r="P69" i="2"/>
  <c r="P73" i="2"/>
  <c r="P77" i="2"/>
  <c r="P81" i="2"/>
  <c r="P85" i="2"/>
  <c r="P89" i="2"/>
  <c r="P93" i="2"/>
  <c r="P97" i="2"/>
  <c r="P6" i="2"/>
  <c r="P10" i="2"/>
  <c r="P14" i="2"/>
  <c r="P18" i="2"/>
  <c r="P22" i="2"/>
  <c r="P26" i="2"/>
  <c r="P30" i="2"/>
  <c r="P34" i="2"/>
  <c r="P38" i="2"/>
  <c r="P42" i="2"/>
  <c r="P46" i="2"/>
  <c r="P50" i="2"/>
  <c r="P54" i="2"/>
  <c r="P70" i="2"/>
  <c r="P86" i="2"/>
  <c r="P58" i="2"/>
  <c r="P74" i="2"/>
  <c r="P90" i="2"/>
  <c r="P62" i="2"/>
  <c r="P78" i="2"/>
  <c r="P94" i="2"/>
  <c r="P66" i="2"/>
  <c r="P82" i="2"/>
  <c r="P98" i="2"/>
  <c r="O3" i="2"/>
  <c r="O7" i="2"/>
  <c r="O11" i="2"/>
  <c r="O15" i="2"/>
  <c r="O19" i="2"/>
  <c r="O23" i="2"/>
  <c r="O27" i="2"/>
  <c r="O31" i="2"/>
  <c r="O35" i="2"/>
  <c r="O39" i="2"/>
  <c r="O43" i="2"/>
  <c r="O47" i="2"/>
  <c r="O51" i="2"/>
  <c r="O55" i="2"/>
  <c r="O59" i="2"/>
  <c r="O63" i="2"/>
  <c r="O67" i="2"/>
  <c r="O71" i="2"/>
  <c r="O75" i="2"/>
  <c r="O79" i="2"/>
  <c r="O83" i="2"/>
  <c r="O87" i="2"/>
  <c r="O91" i="2"/>
  <c r="O95" i="2"/>
  <c r="O4" i="2"/>
  <c r="O8" i="2"/>
  <c r="O12" i="2"/>
  <c r="O16" i="2"/>
  <c r="O20" i="2"/>
  <c r="O24" i="2"/>
  <c r="O28" i="2"/>
  <c r="O32" i="2"/>
  <c r="O36" i="2"/>
  <c r="O40" i="2"/>
  <c r="O44" i="2"/>
  <c r="O48" i="2"/>
  <c r="O52" i="2"/>
  <c r="O56" i="2"/>
  <c r="O60" i="2"/>
  <c r="O64" i="2"/>
  <c r="O68" i="2"/>
  <c r="O72" i="2"/>
  <c r="O76" i="2"/>
  <c r="O80" i="2"/>
  <c r="O84" i="2"/>
  <c r="O88" i="2"/>
  <c r="O92" i="2"/>
  <c r="O96" i="2"/>
  <c r="O5" i="2"/>
  <c r="O9" i="2"/>
  <c r="O13" i="2"/>
  <c r="O17" i="2"/>
  <c r="O21" i="2"/>
  <c r="O25" i="2"/>
  <c r="O29" i="2"/>
  <c r="O33" i="2"/>
  <c r="O37" i="2"/>
  <c r="O41" i="2"/>
  <c r="O45" i="2"/>
  <c r="O49" i="2"/>
  <c r="O53" i="2"/>
  <c r="O57" i="2"/>
  <c r="O61" i="2"/>
  <c r="O65" i="2"/>
  <c r="O69" i="2"/>
  <c r="O73" i="2"/>
  <c r="O77" i="2"/>
  <c r="O81" i="2"/>
  <c r="O85" i="2"/>
  <c r="O89" i="2"/>
  <c r="O93" i="2"/>
  <c r="O97" i="2"/>
  <c r="O6" i="2"/>
  <c r="O10" i="2"/>
  <c r="O14" i="2"/>
  <c r="O18" i="2"/>
  <c r="O22" i="2"/>
  <c r="O26" i="2"/>
  <c r="O30" i="2"/>
  <c r="O34" i="2"/>
  <c r="O38" i="2"/>
  <c r="O42" i="2"/>
  <c r="O46" i="2"/>
  <c r="O50" i="2"/>
  <c r="O54" i="2"/>
  <c r="O58" i="2"/>
  <c r="O74" i="2"/>
  <c r="O90" i="2"/>
  <c r="O62" i="2"/>
  <c r="O78" i="2"/>
  <c r="O94" i="2"/>
  <c r="O66" i="2"/>
  <c r="O82" i="2"/>
  <c r="O98" i="2"/>
  <c r="O70" i="2"/>
  <c r="O86" i="2"/>
  <c r="C10" i="1"/>
  <c r="C7" i="1"/>
  <c r="B20" i="4" l="1"/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B33" i="1" l="1"/>
  <c r="D33" i="1" s="1"/>
  <c r="G15" i="1" l="1"/>
  <c r="C65" i="1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3" i="2"/>
  <c r="N3" i="2" s="1"/>
  <c r="Q3" i="2" s="1"/>
  <c r="L2" i="5"/>
  <c r="F2" i="5"/>
  <c r="D2" i="5"/>
  <c r="N95" i="2" l="1"/>
  <c r="N91" i="2"/>
  <c r="N87" i="2"/>
  <c r="N83" i="2"/>
  <c r="N79" i="2"/>
  <c r="N75" i="2"/>
  <c r="N71" i="2"/>
  <c r="N67" i="2"/>
  <c r="N63" i="2"/>
  <c r="N59" i="2"/>
  <c r="N55" i="2"/>
  <c r="N51" i="2"/>
  <c r="N47" i="2"/>
  <c r="N43" i="2"/>
  <c r="N39" i="2"/>
  <c r="N35" i="2"/>
  <c r="N31" i="2"/>
  <c r="N27" i="2"/>
  <c r="N23" i="2"/>
  <c r="N19" i="2"/>
  <c r="N15" i="2"/>
  <c r="N11" i="2"/>
  <c r="N7" i="2"/>
  <c r="Q7" i="2" s="1"/>
  <c r="N98" i="2"/>
  <c r="N94" i="2"/>
  <c r="N90" i="2"/>
  <c r="N86" i="2"/>
  <c r="N82" i="2"/>
  <c r="N78" i="2"/>
  <c r="N74" i="2"/>
  <c r="N70" i="2"/>
  <c r="N66" i="2"/>
  <c r="N62" i="2"/>
  <c r="N58" i="2"/>
  <c r="N54" i="2"/>
  <c r="N50" i="2"/>
  <c r="N46" i="2"/>
  <c r="N42" i="2"/>
  <c r="N38" i="2"/>
  <c r="N34" i="2"/>
  <c r="N30" i="2"/>
  <c r="N26" i="2"/>
  <c r="N22" i="2"/>
  <c r="N18" i="2"/>
  <c r="N14" i="2"/>
  <c r="N10" i="2"/>
  <c r="N6" i="2"/>
  <c r="Q6" i="2" s="1"/>
  <c r="N97" i="2"/>
  <c r="N93" i="2"/>
  <c r="N89" i="2"/>
  <c r="N85" i="2"/>
  <c r="N81" i="2"/>
  <c r="N77" i="2"/>
  <c r="N73" i="2"/>
  <c r="N69" i="2"/>
  <c r="N65" i="2"/>
  <c r="N61" i="2"/>
  <c r="N57" i="2"/>
  <c r="N53" i="2"/>
  <c r="N49" i="2"/>
  <c r="N45" i="2"/>
  <c r="N41" i="2"/>
  <c r="N37" i="2"/>
  <c r="N33" i="2"/>
  <c r="N29" i="2"/>
  <c r="N25" i="2"/>
  <c r="N21" i="2"/>
  <c r="N17" i="2"/>
  <c r="N13" i="2"/>
  <c r="N9" i="2"/>
  <c r="N5" i="2"/>
  <c r="N96" i="2"/>
  <c r="N92" i="2"/>
  <c r="N88" i="2"/>
  <c r="N84" i="2"/>
  <c r="N80" i="2"/>
  <c r="N76" i="2"/>
  <c r="N72" i="2"/>
  <c r="N68" i="2"/>
  <c r="N64" i="2"/>
  <c r="N60" i="2"/>
  <c r="N56" i="2"/>
  <c r="N52" i="2"/>
  <c r="N48" i="2"/>
  <c r="N44" i="2"/>
  <c r="N40" i="2"/>
  <c r="N36" i="2"/>
  <c r="N32" i="2"/>
  <c r="N28" i="2"/>
  <c r="N24" i="2"/>
  <c r="N20" i="2"/>
  <c r="N16" i="2"/>
  <c r="N12" i="2"/>
  <c r="Q12" i="2" s="1"/>
  <c r="N8" i="2"/>
  <c r="N4" i="2"/>
  <c r="Q4" i="2" s="1"/>
  <c r="S4" i="2" s="1"/>
  <c r="K3" i="2"/>
  <c r="K95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K27" i="2"/>
  <c r="K23" i="2"/>
  <c r="K19" i="2"/>
  <c r="K15" i="2"/>
  <c r="K11" i="2"/>
  <c r="K7" i="2"/>
  <c r="K98" i="2"/>
  <c r="K94" i="2"/>
  <c r="K90" i="2"/>
  <c r="K86" i="2"/>
  <c r="K82" i="2"/>
  <c r="K78" i="2"/>
  <c r="K74" i="2"/>
  <c r="K70" i="2"/>
  <c r="K66" i="2"/>
  <c r="K62" i="2"/>
  <c r="K58" i="2"/>
  <c r="K54" i="2"/>
  <c r="K50" i="2"/>
  <c r="K46" i="2"/>
  <c r="K42" i="2"/>
  <c r="K38" i="2"/>
  <c r="K34" i="2"/>
  <c r="K30" i="2"/>
  <c r="K26" i="2"/>
  <c r="K22" i="2"/>
  <c r="K18" i="2"/>
  <c r="K14" i="2"/>
  <c r="K10" i="2"/>
  <c r="K6" i="2"/>
  <c r="K97" i="2"/>
  <c r="K93" i="2"/>
  <c r="K89" i="2"/>
  <c r="K85" i="2"/>
  <c r="K81" i="2"/>
  <c r="K77" i="2"/>
  <c r="K73" i="2"/>
  <c r="K69" i="2"/>
  <c r="K65" i="2"/>
  <c r="K61" i="2"/>
  <c r="K57" i="2"/>
  <c r="K53" i="2"/>
  <c r="K49" i="2"/>
  <c r="K45" i="2"/>
  <c r="K41" i="2"/>
  <c r="K37" i="2"/>
  <c r="K33" i="2"/>
  <c r="K29" i="2"/>
  <c r="K25" i="2"/>
  <c r="K21" i="2"/>
  <c r="K17" i="2"/>
  <c r="K13" i="2"/>
  <c r="K9" i="2"/>
  <c r="K5" i="2"/>
  <c r="K96" i="2"/>
  <c r="K92" i="2"/>
  <c r="K88" i="2"/>
  <c r="K84" i="2"/>
  <c r="K80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20" i="2"/>
  <c r="K16" i="2"/>
  <c r="K12" i="2"/>
  <c r="K8" i="2"/>
  <c r="K4" i="2"/>
  <c r="N2" i="5"/>
  <c r="I2" i="5"/>
  <c r="G2" i="5"/>
  <c r="C2" i="5"/>
  <c r="B2" i="5"/>
  <c r="T4" i="2" l="1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F29" i="1"/>
  <c r="F25" i="1"/>
  <c r="F22" i="1"/>
  <c r="D19" i="1"/>
  <c r="F17" i="1"/>
  <c r="H2" i="5"/>
  <c r="C9" i="1" a="1"/>
  <c r="C9" i="1" s="1"/>
  <c r="A55" i="1"/>
  <c r="D47" i="1"/>
  <c r="D46" i="1"/>
  <c r="B18" i="4"/>
  <c r="G41" i="1" s="1"/>
  <c r="T3" i="2" l="1"/>
  <c r="A2" i="5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G55" i="1"/>
  <c r="M2" i="5" s="1"/>
  <c r="D38" i="1"/>
  <c r="K2" i="5" s="1"/>
  <c r="F28" i="1"/>
  <c r="F27" i="1"/>
  <c r="D22" i="1"/>
  <c r="D29" i="1" s="1"/>
  <c r="A38" i="1" s="1"/>
  <c r="F21" i="1"/>
  <c r="F20" i="1"/>
  <c r="D67" i="1" l="1"/>
  <c r="D68" i="1" s="1"/>
  <c r="D43" i="1"/>
  <c r="D44" i="1" s="1"/>
  <c r="D48" i="1" s="1"/>
  <c r="E70" i="6" l="1"/>
  <c r="E94" i="6"/>
  <c r="E33" i="6"/>
  <c r="E28" i="6"/>
  <c r="E75" i="6"/>
  <c r="E97" i="6"/>
  <c r="E24" i="6"/>
  <c r="E73" i="6"/>
  <c r="E42" i="6"/>
  <c r="E51" i="6"/>
  <c r="E26" i="6"/>
  <c r="E53" i="6"/>
  <c r="E80" i="6"/>
  <c r="E40" i="6"/>
  <c r="E58" i="6"/>
  <c r="E20" i="6"/>
  <c r="E47" i="6"/>
  <c r="E74" i="6"/>
  <c r="E52" i="6"/>
  <c r="E79" i="6"/>
  <c r="E60" i="6"/>
  <c r="E72" i="6"/>
  <c r="E87" i="6"/>
  <c r="E18" i="6"/>
  <c r="E36" i="6"/>
  <c r="E54" i="6"/>
  <c r="E23" i="6"/>
  <c r="E50" i="6"/>
  <c r="E37" i="6"/>
  <c r="E46" i="6"/>
  <c r="E55" i="6"/>
  <c r="E64" i="6"/>
  <c r="E82" i="6"/>
  <c r="E32" i="6"/>
  <c r="E59" i="6"/>
  <c r="E77" i="6"/>
  <c r="E48" i="6"/>
  <c r="E57" i="6"/>
  <c r="E81" i="6"/>
  <c r="E96" i="6"/>
  <c r="E91" i="6"/>
  <c r="E67" i="6"/>
  <c r="E85" i="6"/>
  <c r="E93" i="6"/>
  <c r="E27" i="6"/>
  <c r="E78" i="6"/>
  <c r="E35" i="6"/>
  <c r="E62" i="6"/>
  <c r="E89" i="6"/>
  <c r="E86" i="6"/>
  <c r="E45" i="6"/>
  <c r="E63" i="6"/>
  <c r="E90" i="6"/>
  <c r="E25" i="6"/>
  <c r="E38" i="6"/>
  <c r="E65" i="6"/>
  <c r="E92" i="6"/>
  <c r="E95" i="6"/>
  <c r="E69" i="6"/>
  <c r="E17" i="6"/>
  <c r="E44" i="6"/>
  <c r="E71" i="6"/>
  <c r="E19" i="6"/>
  <c r="E84" i="6"/>
  <c r="E41" i="6"/>
  <c r="E68" i="6"/>
  <c r="E21" i="6"/>
  <c r="E30" i="6"/>
  <c r="E39" i="6"/>
  <c r="E49" i="6"/>
  <c r="E88" i="6"/>
  <c r="E34" i="6"/>
  <c r="E76" i="6"/>
  <c r="E22" i="6"/>
  <c r="E31" i="6"/>
  <c r="E43" i="6"/>
  <c r="E61" i="6"/>
  <c r="E29" i="6"/>
  <c r="E56" i="6"/>
  <c r="E83" i="6"/>
  <c r="E66" i="6"/>
  <c r="E13" i="6" l="1"/>
  <c r="E9" i="6"/>
  <c r="E16" i="6"/>
  <c r="E10" i="6" l="1"/>
  <c r="E4" i="6"/>
  <c r="E14" i="6"/>
  <c r="E8" i="6"/>
  <c r="E12" i="6"/>
  <c r="E15" i="6"/>
  <c r="E6" i="6"/>
  <c r="E7" i="6"/>
  <c r="E3" i="6"/>
  <c r="E11" i="6" l="1"/>
  <c r="E5" i="6"/>
  <c r="E2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<sst xmlns="http://schemas.openxmlformats.org/spreadsheetml/2006/main" count="416" uniqueCount="384">
  <si>
    <t>Date:</t>
  </si>
  <si>
    <t>(YYYY-MM-DD)</t>
  </si>
  <si>
    <t>KEY</t>
  </si>
  <si>
    <t>User:</t>
  </si>
  <si>
    <t>Required fields</t>
  </si>
  <si>
    <t>Exp Number:</t>
  </si>
  <si>
    <t>(user created three digit ID)</t>
  </si>
  <si>
    <t>Calculated fields</t>
  </si>
  <si>
    <t>Exp ID:</t>
  </si>
  <si>
    <t>(SL = Sequencing Library)</t>
  </si>
  <si>
    <t>Do NOT use any commas in fields</t>
  </si>
  <si>
    <t>Exp Name:</t>
  </si>
  <si>
    <t>Exp Summary:</t>
  </si>
  <si>
    <t>Filename:</t>
  </si>
  <si>
    <t>Number of samples:</t>
  </si>
  <si>
    <t>Notes:</t>
  </si>
  <si>
    <t>1 - Library Preparation</t>
  </si>
  <si>
    <t>(Values in Library Tab)</t>
  </si>
  <si>
    <t>2. End-repair rxn:</t>
  </si>
  <si>
    <t>Overage</t>
  </si>
  <si>
    <t>Item</t>
  </si>
  <si>
    <t>Per tube (µl)</t>
  </si>
  <si>
    <r>
      <rPr>
        <sz val="12"/>
        <color theme="1"/>
        <rFont val="Calibri"/>
        <family val="2"/>
        <charset val="1"/>
      </rPr>
      <t>Temperature (</t>
    </r>
    <r>
      <rPr>
        <vertAlign val="superscript"/>
        <sz val="12"/>
        <color theme="1"/>
        <rFont val="Calibri"/>
        <family val="2"/>
        <charset val="1"/>
      </rPr>
      <t>o</t>
    </r>
    <r>
      <rPr>
        <sz val="12"/>
        <color theme="1"/>
        <rFont val="Calibri"/>
        <family val="2"/>
        <charset val="1"/>
      </rPr>
      <t>C)</t>
    </r>
  </si>
  <si>
    <t>Time (min)</t>
  </si>
  <si>
    <t>PCR product</t>
  </si>
  <si>
    <t>x</t>
  </si>
  <si>
    <t>-</t>
  </si>
  <si>
    <r>
      <rPr>
        <sz val="12"/>
        <color theme="1"/>
        <rFont val="Calibri"/>
        <family val="2"/>
        <charset val="1"/>
      </rPr>
      <t>NF H</t>
    </r>
    <r>
      <rPr>
        <vertAlign val="subscript"/>
        <sz val="12"/>
        <color theme="1"/>
        <rFont val="Calibri"/>
        <family val="2"/>
        <charset val="1"/>
      </rPr>
      <t>2</t>
    </r>
    <r>
      <rPr>
        <sz val="12"/>
        <color theme="1"/>
        <rFont val="Calibri"/>
        <family val="2"/>
        <charset val="1"/>
      </rPr>
      <t>0</t>
    </r>
  </si>
  <si>
    <t>NEBNext End repair reaction buffer (10x)</t>
  </si>
  <si>
    <t>∞</t>
  </si>
  <si>
    <t>NEBNext end prep enzyme mix</t>
  </si>
  <si>
    <t>3. Barcoding Ligation:</t>
  </si>
  <si>
    <t>Native Barcode (1-96)</t>
  </si>
  <si>
    <t>Ultra II Ligation MM</t>
  </si>
  <si>
    <t>Ultra II Ligation Enhancer</t>
  </si>
  <si>
    <t>2 - Pooling and clean-up</t>
  </si>
  <si>
    <t>AMPPure Volume (µl)</t>
  </si>
  <si>
    <t>Pooled DNA 
(ng / µl)</t>
  </si>
  <si>
    <t>Dilution Factor</t>
  </si>
  <si>
    <t>Final Pooled [DNA] (ng/µl)*</t>
  </si>
  <si>
    <t>3 - Adapter Ligation</t>
  </si>
  <si>
    <t>Barcoded pool</t>
  </si>
  <si>
    <t>RT</t>
  </si>
  <si>
    <t>Ligation Adapter (NA)</t>
  </si>
  <si>
    <t>Quick T4 DNA Ligase (NEBNext)</t>
  </si>
  <si>
    <t>Library DNA 
(ng / µl)</t>
  </si>
  <si>
    <t>Final Library [DNA] (ng/µl)</t>
  </si>
  <si>
    <t>Library DNA</t>
  </si>
  <si>
    <t>Elution Buffer (EB)</t>
  </si>
  <si>
    <t>(ensure mixed thoroughly just before addition)</t>
  </si>
  <si>
    <t>Mk1b</t>
  </si>
  <si>
    <t>R10.4.1</t>
  </si>
  <si>
    <t>Flow cell check:</t>
  </si>
  <si>
    <t xml:space="preserve"> (# functioning pores)</t>
  </si>
  <si>
    <t>Sample Information</t>
  </si>
  <si>
    <t>Library Prep</t>
  </si>
  <si>
    <t>#</t>
  </si>
  <si>
    <t>Well</t>
  </si>
  <si>
    <t>Sample ID</t>
  </si>
  <si>
    <t>Extraction ID</t>
  </si>
  <si>
    <t>PCR [DNA] (ng / µl)</t>
  </si>
  <si>
    <t>Barcode#</t>
  </si>
  <si>
    <r>
      <rPr>
        <sz val="12"/>
        <rFont val="Calibri"/>
        <family val="2"/>
        <charset val="1"/>
      </rPr>
      <t>NF H</t>
    </r>
    <r>
      <rPr>
        <vertAlign val="subscript"/>
        <sz val="12"/>
        <color theme="1"/>
        <rFont val="Calibri"/>
        <family val="2"/>
        <charset val="1"/>
      </rPr>
      <t>2</t>
    </r>
    <r>
      <rPr>
        <sz val="12"/>
        <color theme="1"/>
        <rFont val="Calibri"/>
        <family val="2"/>
        <charset val="1"/>
      </rPr>
      <t>0 (µl)</t>
    </r>
  </si>
  <si>
    <t>SeqLib Identifier</t>
  </si>
  <si>
    <t>A1</t>
  </si>
  <si>
    <t>01</t>
  </si>
  <si>
    <t>B1</t>
  </si>
  <si>
    <t>02</t>
  </si>
  <si>
    <t>C1</t>
  </si>
  <si>
    <t>03</t>
  </si>
  <si>
    <t>D1</t>
  </si>
  <si>
    <t>04</t>
  </si>
  <si>
    <t>E1</t>
  </si>
  <si>
    <t>05</t>
  </si>
  <si>
    <t>F1</t>
  </si>
  <si>
    <t>06</t>
  </si>
  <si>
    <t>G1</t>
  </si>
  <si>
    <t>07</t>
  </si>
  <si>
    <t>H1</t>
  </si>
  <si>
    <t>08</t>
  </si>
  <si>
    <t>A2</t>
  </si>
  <si>
    <t>09</t>
  </si>
  <si>
    <t>B2</t>
  </si>
  <si>
    <t>10</t>
  </si>
  <si>
    <t>C2</t>
  </si>
  <si>
    <t>11</t>
  </si>
  <si>
    <t>D2</t>
  </si>
  <si>
    <t>12</t>
  </si>
  <si>
    <t>E2</t>
  </si>
  <si>
    <t>13</t>
  </si>
  <si>
    <t>F2</t>
  </si>
  <si>
    <t>14</t>
  </si>
  <si>
    <t>G2</t>
  </si>
  <si>
    <t>15</t>
  </si>
  <si>
    <t>H2</t>
  </si>
  <si>
    <t>16</t>
  </si>
  <si>
    <t>A3</t>
  </si>
  <si>
    <t>17</t>
  </si>
  <si>
    <t>B3</t>
  </si>
  <si>
    <t>18</t>
  </si>
  <si>
    <t>C3</t>
  </si>
  <si>
    <t>19</t>
  </si>
  <si>
    <t>D3</t>
  </si>
  <si>
    <t>20</t>
  </si>
  <si>
    <t>E3</t>
  </si>
  <si>
    <t>21</t>
  </si>
  <si>
    <t>F3</t>
  </si>
  <si>
    <t>22</t>
  </si>
  <si>
    <t>G3</t>
  </si>
  <si>
    <t>23</t>
  </si>
  <si>
    <t>H3</t>
  </si>
  <si>
    <t>24</t>
  </si>
  <si>
    <t>A4</t>
  </si>
  <si>
    <t>25</t>
  </si>
  <si>
    <t>B4</t>
  </si>
  <si>
    <t>26</t>
  </si>
  <si>
    <t>C4</t>
  </si>
  <si>
    <t>27</t>
  </si>
  <si>
    <t>D4</t>
  </si>
  <si>
    <t>28</t>
  </si>
  <si>
    <t>E4</t>
  </si>
  <si>
    <t>29</t>
  </si>
  <si>
    <t>F4</t>
  </si>
  <si>
    <t>30</t>
  </si>
  <si>
    <t>G4</t>
  </si>
  <si>
    <t>31</t>
  </si>
  <si>
    <t>H4</t>
  </si>
  <si>
    <t>32</t>
  </si>
  <si>
    <t>A5</t>
  </si>
  <si>
    <t>33</t>
  </si>
  <si>
    <t>B5</t>
  </si>
  <si>
    <t>34</t>
  </si>
  <si>
    <t>C5</t>
  </si>
  <si>
    <t>35</t>
  </si>
  <si>
    <t>D5</t>
  </si>
  <si>
    <t>36</t>
  </si>
  <si>
    <t>E5</t>
  </si>
  <si>
    <t>37</t>
  </si>
  <si>
    <t>F5</t>
  </si>
  <si>
    <t>38</t>
  </si>
  <si>
    <t>G5</t>
  </si>
  <si>
    <t>39</t>
  </si>
  <si>
    <t>H5</t>
  </si>
  <si>
    <t>40</t>
  </si>
  <si>
    <t>A6</t>
  </si>
  <si>
    <t>41</t>
  </si>
  <si>
    <t>B6</t>
  </si>
  <si>
    <t>42</t>
  </si>
  <si>
    <t>C6</t>
  </si>
  <si>
    <t>43</t>
  </si>
  <si>
    <t>D6</t>
  </si>
  <si>
    <t>44</t>
  </si>
  <si>
    <t>E6</t>
  </si>
  <si>
    <t>45</t>
  </si>
  <si>
    <t>F6</t>
  </si>
  <si>
    <t>46</t>
  </si>
  <si>
    <t>G6</t>
  </si>
  <si>
    <t>47</t>
  </si>
  <si>
    <t>H6</t>
  </si>
  <si>
    <t>48</t>
  </si>
  <si>
    <t>A7</t>
  </si>
  <si>
    <t>49</t>
  </si>
  <si>
    <t>B7</t>
  </si>
  <si>
    <t>50</t>
  </si>
  <si>
    <t>C7</t>
  </si>
  <si>
    <t>51</t>
  </si>
  <si>
    <t>D7</t>
  </si>
  <si>
    <t>52</t>
  </si>
  <si>
    <t>E7</t>
  </si>
  <si>
    <t>53</t>
  </si>
  <si>
    <t>F7</t>
  </si>
  <si>
    <t>54</t>
  </si>
  <si>
    <t>G7</t>
  </si>
  <si>
    <t>55</t>
  </si>
  <si>
    <t>H7</t>
  </si>
  <si>
    <t>56</t>
  </si>
  <si>
    <t>A8</t>
  </si>
  <si>
    <t>57</t>
  </si>
  <si>
    <t>B8</t>
  </si>
  <si>
    <t>58</t>
  </si>
  <si>
    <t>C8</t>
  </si>
  <si>
    <t>59</t>
  </si>
  <si>
    <t>D8</t>
  </si>
  <si>
    <t>60</t>
  </si>
  <si>
    <t>E8</t>
  </si>
  <si>
    <t>61</t>
  </si>
  <si>
    <t>F8</t>
  </si>
  <si>
    <t>62</t>
  </si>
  <si>
    <t>G8</t>
  </si>
  <si>
    <t>63</t>
  </si>
  <si>
    <t>H8</t>
  </si>
  <si>
    <t>64</t>
  </si>
  <si>
    <t>A9</t>
  </si>
  <si>
    <t>65</t>
  </si>
  <si>
    <t>B9</t>
  </si>
  <si>
    <t>66</t>
  </si>
  <si>
    <t>C9</t>
  </si>
  <si>
    <t>67</t>
  </si>
  <si>
    <t>D9</t>
  </si>
  <si>
    <t>68</t>
  </si>
  <si>
    <t>E9</t>
  </si>
  <si>
    <t>69</t>
  </si>
  <si>
    <t>F9</t>
  </si>
  <si>
    <t>70</t>
  </si>
  <si>
    <t>G9</t>
  </si>
  <si>
    <t>71</t>
  </si>
  <si>
    <t>H9</t>
  </si>
  <si>
    <t>72</t>
  </si>
  <si>
    <t>A10</t>
  </si>
  <si>
    <t>73</t>
  </si>
  <si>
    <t>B10</t>
  </si>
  <si>
    <t>74</t>
  </si>
  <si>
    <t>C10</t>
  </si>
  <si>
    <t>75</t>
  </si>
  <si>
    <t>D10</t>
  </si>
  <si>
    <t>76</t>
  </si>
  <si>
    <t>E10</t>
  </si>
  <si>
    <t>77</t>
  </si>
  <si>
    <t>F10</t>
  </si>
  <si>
    <t>78</t>
  </si>
  <si>
    <t>G10</t>
  </si>
  <si>
    <t>79</t>
  </si>
  <si>
    <t>H10</t>
  </si>
  <si>
    <t>80</t>
  </si>
  <si>
    <t>A11</t>
  </si>
  <si>
    <t>81</t>
  </si>
  <si>
    <t>B11</t>
  </si>
  <si>
    <t>82</t>
  </si>
  <si>
    <t>C11</t>
  </si>
  <si>
    <t>83</t>
  </si>
  <si>
    <t>D11</t>
  </si>
  <si>
    <t>84</t>
  </si>
  <si>
    <t>E11</t>
  </si>
  <si>
    <t>85</t>
  </si>
  <si>
    <t>F11</t>
  </si>
  <si>
    <t>86</t>
  </si>
  <si>
    <t>G11</t>
  </si>
  <si>
    <t>87</t>
  </si>
  <si>
    <t>H11</t>
  </si>
  <si>
    <t>88</t>
  </si>
  <si>
    <t>A12</t>
  </si>
  <si>
    <t>89</t>
  </si>
  <si>
    <t>B12</t>
  </si>
  <si>
    <t>90</t>
  </si>
  <si>
    <t>C12</t>
  </si>
  <si>
    <t>91</t>
  </si>
  <si>
    <t>D12</t>
  </si>
  <si>
    <t>92</t>
  </si>
  <si>
    <t>E12</t>
  </si>
  <si>
    <t>93</t>
  </si>
  <si>
    <t>F12</t>
  </si>
  <si>
    <t>94</t>
  </si>
  <si>
    <t>G12</t>
  </si>
  <si>
    <t>95</t>
  </si>
  <si>
    <t>H12</t>
  </si>
  <si>
    <t>96</t>
  </si>
  <si>
    <t>Assumptions</t>
  </si>
  <si>
    <t>Look-ups</t>
  </si>
  <si>
    <t>Description</t>
  </si>
  <si>
    <t>Flow cell status</t>
  </si>
  <si>
    <t>New</t>
  </si>
  <si>
    <t>End repair max volume</t>
  </si>
  <si>
    <t>ul</t>
  </si>
  <si>
    <t>Used</t>
  </si>
  <si>
    <t>Adapter ligation max volume</t>
  </si>
  <si>
    <t>Flow cell load max volume</t>
  </si>
  <si>
    <t>Experiment</t>
  </si>
  <si>
    <t>type</t>
  </si>
  <si>
    <t>seqlib</t>
  </si>
  <si>
    <t>version</t>
  </si>
  <si>
    <t>expt_id</t>
  </si>
  <si>
    <t>expt_date</t>
  </si>
  <si>
    <t>expt_user</t>
  </si>
  <si>
    <t>expt_type</t>
  </si>
  <si>
    <t>expt_version</t>
  </si>
  <si>
    <t>expt_notes</t>
  </si>
  <si>
    <t>expt_summary</t>
  </si>
  <si>
    <t>expt_rxns</t>
  </si>
  <si>
    <t>endrepair_targetmass_ng</t>
  </si>
  <si>
    <t>endrepair_dnaconc_ngul</t>
  </si>
  <si>
    <t>adaptlig_targetmass_ng</t>
  </si>
  <si>
    <t>library_dnaconc_ngul</t>
  </si>
  <si>
    <t>flowcell_checkpores</t>
  </si>
  <si>
    <t>sample_id</t>
  </si>
  <si>
    <t>extraction_id</t>
  </si>
  <si>
    <t>barcode</t>
  </si>
  <si>
    <t>endrepair_vol_ul</t>
  </si>
  <si>
    <t>Changelog from prev version</t>
  </si>
  <si>
    <t>1. Add PCR product per sample for end repair:</t>
  </si>
  <si>
    <t>Added</t>
  </si>
  <si>
    <t>ng of product in rxn volume of</t>
  </si>
  <si>
    <t>Adaptor ligation rxn vol</t>
  </si>
  <si>
    <t>Instructions</t>
  </si>
  <si>
    <t>Process</t>
  </si>
  <si>
    <t>ONT Platforms</t>
  </si>
  <si>
    <t>Mk1c</t>
  </si>
  <si>
    <t>GridIon</t>
  </si>
  <si>
    <t>Promethion</t>
  </si>
  <si>
    <t>P2</t>
  </si>
  <si>
    <t>Flow Chemistry</t>
  </si>
  <si>
    <t>Column</t>
  </si>
  <si>
    <t>End-repair vol calculation type</t>
  </si>
  <si>
    <t>Exact</t>
  </si>
  <si>
    <t>Avg Per plate</t>
  </si>
  <si>
    <t>Max per plate</t>
  </si>
  <si>
    <t>Volume Calculation Types</t>
  </si>
  <si>
    <t>Name</t>
  </si>
  <si>
    <t>max volume per column</t>
  </si>
  <si>
    <t>max per plate</t>
  </si>
  <si>
    <t>avg per plate</t>
  </si>
  <si>
    <t>(recommend 1 per column)</t>
  </si>
  <si>
    <t>Ligation Buffer (LIS)</t>
  </si>
  <si>
    <t>4 - DNA Clean-up</t>
  </si>
  <si>
    <t>Select Buffer:</t>
  </si>
  <si>
    <r>
      <t>Clean up:</t>
    </r>
    <r>
      <rPr>
        <sz val="12"/>
        <color theme="1"/>
        <rFont val="Calibri"/>
        <family val="2"/>
        <charset val="1"/>
      </rPr>
      <t xml:space="preserve"> Add 0.5x vol AMPPure beads, 5 min RT with mixing, wash 2 x 250 µl SFB/LFB, spin, dry, re-suspend in 15 µl EB and transfer  eluate to fresh tube</t>
    </r>
  </si>
  <si>
    <t>NOMADS Library Worksheet - Ligation</t>
  </si>
  <si>
    <t>Sequencing Buffer (SB)</t>
  </si>
  <si>
    <t>Loading Beads (LIB)</t>
  </si>
  <si>
    <t>Missing quantification</t>
  </si>
  <si>
    <t>column average</t>
  </si>
  <si>
    <t>plate average</t>
  </si>
  <si>
    <t>avg of quantifications in the same column</t>
  </si>
  <si>
    <t>avg of quantifications across plate</t>
  </si>
  <si>
    <t>(recommend plate average)</t>
  </si>
  <si>
    <t>Avg per plate</t>
  </si>
  <si>
    <t>Max for col</t>
  </si>
  <si>
    <t>1 per column (max)</t>
  </si>
  <si>
    <t>Sample vol (µl)</t>
  </si>
  <si>
    <t>Total vol (µl)</t>
  </si>
  <si>
    <t>EtOH wash vol (µl)</t>
  </si>
  <si>
    <t>Total bead vol (µl)</t>
  </si>
  <si>
    <t>Incubation time (min)</t>
  </si>
  <si>
    <t>Bead ratio (x)</t>
  </si>
  <si>
    <t>Resuspension vol (µl)</t>
  </si>
  <si>
    <r>
      <t xml:space="preserve">(Amplicons should be washed with LFB, if </t>
    </r>
    <r>
      <rPr>
        <sz val="12"/>
        <color theme="1"/>
        <rFont val="Aptos Narrow"/>
        <family val="2"/>
      </rPr>
      <t>≥</t>
    </r>
    <r>
      <rPr>
        <sz val="12"/>
        <color theme="1"/>
        <rFont val="Calibri"/>
        <family val="2"/>
      </rPr>
      <t>3kb or SFB, if ≤ 3kb)</t>
    </r>
  </si>
  <si>
    <r>
      <rPr>
        <b/>
        <sz val="12"/>
        <color theme="1"/>
        <rFont val="Calibri"/>
        <family val="2"/>
      </rPr>
      <t xml:space="preserve">Quantify: </t>
    </r>
    <r>
      <rPr>
        <sz val="12"/>
        <color theme="1"/>
        <rFont val="Calibri"/>
        <family val="2"/>
        <charset val="1"/>
      </rPr>
      <t>1 µl as a 1:10 dilution on Qubit. Dilute further if required</t>
    </r>
  </si>
  <si>
    <r>
      <rPr>
        <b/>
        <sz val="12"/>
        <color theme="1"/>
        <rFont val="Calibri"/>
        <family val="2"/>
      </rPr>
      <t>Clean up:</t>
    </r>
    <r>
      <rPr>
        <sz val="12"/>
        <color theme="1"/>
        <rFont val="Calibri"/>
        <family val="2"/>
        <charset val="1"/>
      </rPr>
      <t xml:space="preserve"> Add AMPPure beads, at RT with mixing, wash twice in 80% EtOH, spin, dry, re-suspend in EB and transfer  eluate to fresh tube</t>
    </r>
  </si>
  <si>
    <r>
      <rPr>
        <b/>
        <sz val="12"/>
        <color theme="1"/>
        <rFont val="Calibri"/>
        <family val="2"/>
      </rPr>
      <t xml:space="preserve">Pool: </t>
    </r>
    <r>
      <rPr>
        <sz val="12"/>
        <color theme="1"/>
        <rFont val="Calibri"/>
        <family val="2"/>
        <charset val="1"/>
      </rPr>
      <t>Combine equal volume of all samples into a new LoBind tube</t>
    </r>
  </si>
  <si>
    <t>Ento</t>
  </si>
  <si>
    <t>Applies to</t>
  </si>
  <si>
    <t>Resuspension Vol (ul)</t>
  </si>
  <si>
    <t>Wash Volume (ul)</t>
  </si>
  <si>
    <t>Plasmo</t>
  </si>
  <si>
    <t>Plasmodium</t>
  </si>
  <si>
    <t>sample_type</t>
  </si>
  <si>
    <t>Sample Type</t>
  </si>
  <si>
    <t>Field</t>
  </si>
  <si>
    <t>Positive</t>
  </si>
  <si>
    <t>Negative</t>
  </si>
  <si>
    <t>Minimum final pooled [DNA]</t>
  </si>
  <si>
    <t>ng/ul</t>
  </si>
  <si>
    <t>Post-PCR clean-up target [DNA]</t>
  </si>
  <si>
    <t>sub-type</t>
  </si>
  <si>
    <t>ligation</t>
  </si>
  <si>
    <t>PCR product (µl) to add for end-repair (calculated)</t>
  </si>
  <si>
    <t>PCR product (µl) added (if different from calculated)</t>
  </si>
  <si>
    <t>Mk1d</t>
  </si>
  <si>
    <t>To prevent inadvertent loss of data, cells are protected from editing. You can only select unlocked cells. Use tab to navigate</t>
  </si>
  <si>
    <r>
      <t xml:space="preserve">1. Enter all details into the </t>
    </r>
    <r>
      <rPr>
        <b/>
        <sz val="24"/>
        <color theme="1"/>
        <rFont val="Calibri"/>
        <family val="2"/>
        <scheme val="minor"/>
      </rPr>
      <t>'Assay'</t>
    </r>
    <r>
      <rPr>
        <sz val="24"/>
        <color theme="1"/>
        <rFont val="Calibri"/>
        <family val="2"/>
        <scheme val="minor"/>
      </rPr>
      <t xml:space="preserve"> (experiment level) and </t>
    </r>
    <r>
      <rPr>
        <b/>
        <sz val="24"/>
        <color theme="1"/>
        <rFont val="Calibri"/>
        <family val="2"/>
        <scheme val="minor"/>
      </rPr>
      <t>'Library'</t>
    </r>
    <r>
      <rPr>
        <sz val="24"/>
        <color theme="1"/>
        <rFont val="Calibri"/>
        <family val="2"/>
        <scheme val="minor"/>
      </rPr>
      <t xml:space="preserve"> (reaction level) tabs, ensuring all yellow highlighted cells are complete</t>
    </r>
  </si>
  <si>
    <r>
      <t xml:space="preserve">      - when copying from another worksheet, always right-click and paste </t>
    </r>
    <r>
      <rPr>
        <b/>
        <sz val="26"/>
        <color theme="1"/>
        <rFont val="Calibri"/>
        <family val="2"/>
        <scheme val="minor"/>
      </rPr>
      <t>VALUES</t>
    </r>
    <r>
      <rPr>
        <sz val="26"/>
        <color theme="1"/>
        <rFont val="Calibri"/>
        <family val="2"/>
        <scheme val="minor"/>
      </rPr>
      <t>:</t>
    </r>
  </si>
  <si>
    <t>2. Save workbook with the correct filename to the shared Google Drive folder</t>
  </si>
  <si>
    <r>
      <t xml:space="preserve">Reference values </t>
    </r>
    <r>
      <rPr>
        <u/>
        <sz val="20"/>
        <color rgb="FF000000"/>
        <rFont val="Calibri"/>
        <family val="2"/>
      </rPr>
      <t>(change only if required)</t>
    </r>
  </si>
  <si>
    <t>This template is to be used to record library prep and sequencing steps as part of a NOMADS sequencing run.</t>
  </si>
  <si>
    <t>Wash Buffer</t>
  </si>
  <si>
    <t>LFB</t>
  </si>
  <si>
    <t>SFB</t>
  </si>
  <si>
    <t>(enter human readable detail)</t>
  </si>
  <si>
    <t>User Initials:</t>
  </si>
  <si>
    <t>(enter name)</t>
  </si>
  <si>
    <t>(calculated from Library tab)</t>
  </si>
  <si>
    <t>6 - Loading Library</t>
  </si>
  <si>
    <t>4 - Flow cell prep</t>
  </si>
  <si>
    <t>1. Mix 1,170 µl Flow Cell Flush (FCF) with 30 µl Flow Cell Tether (FCT)</t>
  </si>
  <si>
    <t>2. Open priming  port and aspirate (by scrolling) with a P1000 set to 200 µl to remove any bubbles</t>
  </si>
  <si>
    <t>3. Add 800 µl of the priming mix to the priming port and incubate for 5 mins</t>
  </si>
  <si>
    <t>4. Open Spot-On port and add 200 µl of the priming mix to the priming port</t>
  </si>
  <si>
    <t>1. Prepare library and load all 75 µl dropwise to the spot-on port</t>
  </si>
  <si>
    <t>2. Start run in minknow with 'SQK-NBD114.96' kit  and 'Super accurate basecalling'</t>
  </si>
  <si>
    <t>expt_sub-type</t>
  </si>
  <si>
    <t>DNA conc present</t>
  </si>
  <si>
    <t>Sample ID present</t>
  </si>
  <si>
    <t>One or more entries in column</t>
  </si>
  <si>
    <t>Calculate</t>
  </si>
  <si>
    <t>(first last)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</si>
</sst>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0.0"/>
  </numFmts>
  <fonts count="25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u/>
      <sz val="12"/>
      <color theme="1"/>
      <name val="Calibri"/>
      <family val="2"/>
      <charset val="1"/>
    </font>
    <font>
      <vertAlign val="superscript"/>
      <sz val="12"/>
      <color theme="1"/>
      <name val="Calibri"/>
      <family val="2"/>
      <charset val="1"/>
    </font>
    <font>
      <vertAlign val="subscript"/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Calibri"/>
      <family val="2"/>
    </font>
    <font>
      <b/>
      <u/>
      <sz val="36"/>
      <color rgb="FF000000"/>
      <name val="Calibri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charset val="1"/>
    </font>
    <font>
      <b/>
      <sz val="12"/>
      <color theme="1"/>
      <name val="Calibri"/>
      <family val="2"/>
    </font>
    <font>
      <sz val="12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26"/>
      <color rgb="FF000000"/>
      <name val="Calibri"/>
      <family val="2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u/>
      <sz val="2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D0CECE"/>
      </patternFill>
    </fill>
    <fill>
      <patternFill patternType="solid">
        <fgColor rgb="FFFF0000"/>
        <bgColor rgb="FF9C0006"/>
      </patternFill>
    </fill>
    <fill>
      <patternFill patternType="solid">
        <fgColor rgb="FFFFC000"/>
        <bgColor rgb="FFFF99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92D050"/>
        <bgColor rgb="FFBFBFBF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164" fontId="10" fillId="0" borderId="0" applyBorder="0" applyProtection="0"/>
    <xf numFmtId="9" fontId="10" fillId="0" borderId="0" applyBorder="0" applyProtection="0"/>
    <xf numFmtId="164" fontId="10" fillId="0" borderId="0" applyBorder="0" applyProtection="0"/>
    <xf numFmtId="0" fontId="2" fillId="0" borderId="0"/>
    <xf numFmtId="0" fontId="2" fillId="0" borderId="0"/>
    <xf numFmtId="0" fontId="2" fillId="0" borderId="0"/>
  </cellStyleXfs>
  <cellXfs count="13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10" fillId="0" borderId="0" xfId="2" applyBorder="1" applyAlignment="1" applyProtection="1">
      <alignment horizontal="center"/>
    </xf>
    <xf numFmtId="0" fontId="0" fillId="0" borderId="1" xfId="0" applyBorder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" fontId="0" fillId="6" borderId="2" xfId="0" applyNumberForma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7" xfId="0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0" borderId="0" xfId="6"/>
    <xf numFmtId="0" fontId="7" fillId="0" borderId="0" xfId="0" applyFont="1" applyAlignment="1">
      <alignment horizontal="left" vertical="center"/>
    </xf>
    <xf numFmtId="0" fontId="0" fillId="0" borderId="0" xfId="0" applyAlignment="1" applyProtection="1">
      <alignment horizontal="center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9" fontId="10" fillId="0" borderId="0" xfId="2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/>
      <protection locked="0"/>
    </xf>
    <xf numFmtId="0" fontId="12" fillId="0" borderId="0" xfId="0" applyFont="1"/>
    <xf numFmtId="0" fontId="13" fillId="0" borderId="0" xfId="0" applyFont="1"/>
    <xf numFmtId="165" fontId="0" fillId="9" borderId="7" xfId="0" applyNumberFormat="1" applyFill="1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7" fillId="0" borderId="10" xfId="0" applyFont="1" applyBorder="1" applyAlignment="1" applyProtection="1">
      <alignment horizontal="center" wrapText="1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165" fontId="0" fillId="9" borderId="13" xfId="0" applyNumberForma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0" borderId="15" xfId="0" applyBorder="1" applyAlignment="1" applyProtection="1">
      <alignment horizontal="center"/>
      <protection locked="0"/>
    </xf>
    <xf numFmtId="0" fontId="0" fillId="9" borderId="16" xfId="0" applyFill="1" applyBorder="1" applyAlignment="1">
      <alignment horizontal="center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/>
      <protection locked="0"/>
    </xf>
    <xf numFmtId="165" fontId="0" fillId="9" borderId="19" xfId="0" applyNumberFormat="1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0" borderId="22" xfId="0" applyBorder="1" applyAlignment="1" applyProtection="1">
      <alignment horizontal="center"/>
      <protection locked="0"/>
    </xf>
    <xf numFmtId="0" fontId="11" fillId="0" borderId="0" xfId="0" applyFont="1" applyAlignment="1">
      <alignment horizontal="left" vertical="center"/>
    </xf>
    <xf numFmtId="0" fontId="7" fillId="7" borderId="9" xfId="0" applyFont="1" applyFill="1" applyBorder="1" applyAlignment="1" applyProtection="1">
      <alignment horizontal="center" wrapText="1"/>
      <protection locked="0"/>
    </xf>
    <xf numFmtId="0" fontId="7" fillId="8" borderId="9" xfId="0" applyFont="1" applyFill="1" applyBorder="1" applyAlignment="1" applyProtection="1">
      <alignment horizontal="center" wrapText="1"/>
      <protection locked="0"/>
    </xf>
    <xf numFmtId="0" fontId="7" fillId="5" borderId="9" xfId="0" applyFont="1" applyFill="1" applyBorder="1" applyAlignment="1" applyProtection="1">
      <alignment horizontal="center" wrapText="1"/>
      <protection locked="0"/>
    </xf>
    <xf numFmtId="0" fontId="9" fillId="0" borderId="0" xfId="6" applyFont="1"/>
    <xf numFmtId="0" fontId="6" fillId="5" borderId="1" xfId="0" applyFont="1" applyFill="1" applyBorder="1"/>
    <xf numFmtId="0" fontId="0" fillId="5" borderId="1" xfId="0" applyFill="1" applyBorder="1"/>
    <xf numFmtId="0" fontId="0" fillId="5" borderId="0" xfId="0" applyFill="1"/>
    <xf numFmtId="0" fontId="0" fillId="0" borderId="0" xfId="0" applyAlignment="1">
      <alignment vertical="center"/>
    </xf>
    <xf numFmtId="0" fontId="11" fillId="5" borderId="1" xfId="0" applyFont="1" applyFill="1" applyBorder="1"/>
    <xf numFmtId="0" fontId="0" fillId="0" borderId="1" xfId="0" applyBorder="1" applyAlignment="1">
      <alignment horizontal="center" wrapText="1"/>
    </xf>
    <xf numFmtId="0" fontId="6" fillId="0" borderId="0" xfId="0" applyFont="1" applyAlignment="1">
      <alignment wrapText="1"/>
    </xf>
    <xf numFmtId="0" fontId="0" fillId="11" borderId="0" xfId="0" applyFill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/>
      <protection locked="0"/>
    </xf>
    <xf numFmtId="2" fontId="0" fillId="0" borderId="7" xfId="0" applyNumberFormat="1" applyBorder="1" applyAlignment="1" applyProtection="1">
      <alignment horizontal="center"/>
      <protection locked="0"/>
    </xf>
    <xf numFmtId="2" fontId="0" fillId="0" borderId="19" xfId="0" applyNumberFormat="1" applyBorder="1" applyAlignment="1" applyProtection="1">
      <alignment horizontal="center"/>
      <protection locked="0"/>
    </xf>
    <xf numFmtId="0" fontId="18" fillId="12" borderId="1" xfId="0" applyFont="1" applyFill="1" applyBorder="1"/>
    <xf numFmtId="0" fontId="1" fillId="0" borderId="0" xfId="6" applyFont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6" fillId="8" borderId="5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7" fillId="5" borderId="23" xfId="0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center" vertical="center"/>
      <protection locked="0"/>
    </xf>
    <xf numFmtId="0" fontId="0" fillId="11" borderId="0" xfId="0" applyFill="1" applyAlignment="1">
      <alignment horizontal="right" wrapText="1"/>
    </xf>
    <xf numFmtId="1" fontId="10" fillId="11" borderId="0" xfId="1" applyNumberFormat="1" applyFill="1" applyBorder="1" applyAlignment="1" applyProtection="1">
      <alignment horizontal="center" vertical="center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 wrapText="1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right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wrapText="1"/>
    </xf>
    <xf numFmtId="0" fontId="10" fillId="3" borderId="0" xfId="1" applyNumberFormat="1" applyFill="1" applyBorder="1" applyAlignment="1" applyProtection="1">
      <alignment horizontal="center" vertical="center"/>
    </xf>
    <xf numFmtId="0" fontId="0" fillId="3" borderId="0" xfId="0" applyFill="1" applyAlignment="1">
      <alignment horizontal="right"/>
    </xf>
    <xf numFmtId="1" fontId="10" fillId="3" borderId="0" xfId="1" applyNumberFormat="1" applyFill="1" applyBorder="1" applyAlignment="1" applyProtection="1">
      <alignment horizontal="center" vertical="center"/>
    </xf>
    <xf numFmtId="1" fontId="10" fillId="0" borderId="0" xfId="1" applyNumberFormat="1" applyBorder="1" applyAlignment="1" applyProtection="1">
      <alignment horizontal="left" vertical="top"/>
      <protection locked="0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0" fontId="1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165" fontId="6" fillId="0" borderId="0" xfId="0" applyNumberFormat="1" applyFont="1" applyAlignment="1">
      <alignment horizontal="center"/>
    </xf>
    <xf numFmtId="165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0" fontId="6" fillId="7" borderId="3" xfId="0" applyFont="1" applyFill="1" applyBorder="1" applyAlignment="1" applyProtection="1">
      <alignment horizontal="center"/>
      <protection locked="0"/>
    </xf>
    <xf numFmtId="0" fontId="6" fillId="5" borderId="4" xfId="0" applyFont="1" applyFill="1" applyBorder="1" applyAlignment="1" applyProtection="1">
      <alignment horizontal="center"/>
      <protection locked="0"/>
    </xf>
    <xf numFmtId="0" fontId="0" fillId="10" borderId="13" xfId="0" applyFill="1" applyBorder="1" applyAlignment="1" applyProtection="1">
      <alignment horizontal="center"/>
    </xf>
    <xf numFmtId="0" fontId="0" fillId="10" borderId="7" xfId="0" applyFill="1" applyBorder="1" applyAlignment="1" applyProtection="1">
      <alignment horizontal="center"/>
    </xf>
    <xf numFmtId="0" fontId="0" fillId="10" borderId="19" xfId="0" applyFill="1" applyBorder="1" applyAlignment="1" applyProtection="1">
      <alignment horizontal="center"/>
    </xf>
    <xf numFmtId="165" fontId="0" fillId="9" borderId="13" xfId="0" applyNumberFormat="1" applyFill="1" applyBorder="1" applyAlignment="1" applyProtection="1">
      <alignment horizontal="center"/>
    </xf>
    <xf numFmtId="165" fontId="0" fillId="9" borderId="7" xfId="0" applyNumberFormat="1" applyFill="1" applyBorder="1" applyAlignment="1" applyProtection="1">
      <alignment horizontal="center"/>
    </xf>
    <xf numFmtId="165" fontId="0" fillId="9" borderId="19" xfId="0" applyNumberFormat="1" applyFill="1" applyBorder="1" applyAlignment="1" applyProtection="1">
      <alignment horizontal="center"/>
    </xf>
    <xf numFmtId="0" fontId="0" fillId="0" borderId="0" xfId="0" applyFill="1" applyAlignment="1">
      <alignment horizontal="right" wrapText="1"/>
    </xf>
    <xf numFmtId="0" fontId="0" fillId="0" borderId="0" xfId="0" applyFill="1" applyAlignment="1" applyProtection="1">
      <alignment horizontal="center" vertical="center"/>
      <protection locked="0"/>
    </xf>
  </cellXfs>
  <cellStyles count="7">
    <cellStyle name="Comma" xfId="1" builtinId="3"/>
    <cellStyle name="Comma 2" xfId="3" xr:uid="{00000000-0005-0000-0000-000006000000}"/>
    <cellStyle name="Normal" xfId="0" builtinId="0"/>
    <cellStyle name="Normal 2" xfId="4" xr:uid="{00000000-0005-0000-0000-000007000000}"/>
    <cellStyle name="Normal 3" xfId="5" xr:uid="{00000000-0005-0000-0000-000008000000}"/>
    <cellStyle name="Normal 4" xfId="6" xr:uid="{00000000-0005-0000-0000-000009000000}"/>
    <cellStyle name="Percent" xfId="2" builtinId="5"/>
  </cellStyles>
  <dxfs count="4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65" formatCode="0.0"/>
      <border>
        <left style="thin">
          <color auto="1"/>
        </left>
      </border>
      <protection locked="1" hidden="0"/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numFmt numFmtId="165" formatCode="0.0"/>
      <border>
        <left style="thin">
          <color auto="1"/>
        </left>
        <right style="thin">
          <color auto="1"/>
        </right>
      </border>
      <protection locked="1" hidden="0"/>
    </dxf>
    <dxf>
      <numFmt numFmtId="165" formatCode="0.0"/>
      <fill>
        <patternFill patternType="solid">
          <fgColor rgb="FFD0CECE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0"/>
    </dxf>
    <dxf>
      <numFmt numFmtId="165" formatCode="0.0"/>
      <fill>
        <patternFill patternType="solid">
          <fgColor rgb="FFD0CECE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0"/>
    </dxf>
    <dxf>
      <numFmt numFmtId="165" formatCode="0.0"/>
      <fill>
        <patternFill patternType="solid">
          <fgColor rgb="FFD0CECE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1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1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1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1" hidden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1" hidden="0"/>
    </dxf>
    <dxf>
      <border outline="0">
        <left style="thin">
          <color auto="1"/>
        </left>
        <right style="thin">
          <color auto="1"/>
        </right>
      </border>
      <protection locked="0" hidden="0"/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0" formatCode="General"/>
    </dxf>
    <dxf>
      <protection locked="1" hidden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0" hidden="0"/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  <protection locked="0" hidden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</border>
      <protection locked="0" hidden="0"/>
    </dxf>
    <dxf>
      <fill>
        <patternFill patternType="none">
          <fgColor indexed="64"/>
          <bgColor auto="1"/>
        </patternFill>
      </fill>
      <border>
        <left style="thin">
          <color auto="1"/>
        </left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D9D9D9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C55A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236220</xdr:colOff>
      <xdr:row>6</xdr:row>
      <xdr:rowOff>30480</xdr:rowOff>
    </xdr:from>
    <xdr:to>
      <xdr:col>11</xdr:col>
      <xdr:colOff>176849</xdr:colOff>
      <xdr:row>12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77E20-0DCD-4099-8C0A-74F3701A04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1521440" y="2720340"/>
          <a:ext cx="2523809" cy="17373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SeqLib" displayName="tbl_SeqLib" ref="A2:T98" totalsRowShown="0">
  <autoFilter ref="A2:T98" xr:uid="{00000000-0009-0000-0100-000003000000}"/>
  <tableColumns count="20">
    <tableColumn id="1" xr3:uid="{00000000-0010-0000-0000-000001000000}" name="#" dataDxfId="39"/>
    <tableColumn id="16" xr3:uid="{D11167BC-CEB0-4BCF-918C-7AFD807B17A9}" name="Column" dataDxfId="38">
      <calculatedColumnFormula>RIGHT(tbl_SeqLib[[#This Row],[Well]],LEN(tbl_SeqLib[[#This Row],[Well]])-1)</calculatedColumnFormula>
    </tableColumn>
    <tableColumn id="2" xr3:uid="{00000000-0010-0000-0000-000002000000}" name="Well" dataDxfId="37"/>
    <tableColumn id="3" xr3:uid="{00000000-0010-0000-0000-000003000000}" name="Sample ID" dataDxfId="36"/>
    <tableColumn id="4" xr3:uid="{00000000-0010-0000-0000-000004000000}" name="Extraction ID" dataDxfId="35"/>
    <tableColumn id="27" xr3:uid="{D655D6C8-1850-4AC0-8484-17625A62737D}" name="Sample Type" dataDxfId="34"/>
    <tableColumn id="9" xr3:uid="{00000000-0010-0000-0000-000009000000}" name="PCR [DNA] (ng / µl)" dataDxfId="33"/>
    <tableColumn id="10" xr3:uid="{00000000-0010-0000-0000-00000A000000}" name="Barcode#" dataDxfId="26"/>
    <tableColumn id="5" xr3:uid="{08D1B144-D34E-4F83-8411-6BD25CB15AAA}" name="DNA conc present" dataDxfId="25">
      <calculatedColumnFormula>IF(LEN(tbl_SeqLib[[#This Row],[PCR '[DNA'] (ng / µl)]])&gt;0,1,0)</calculatedColumnFormula>
    </tableColumn>
    <tableColumn id="6" xr3:uid="{6719BAEA-A5E1-4AB6-A267-82F641CA41EA}" name="Sample ID present" dataDxfId="24">
      <calculatedColumnFormula>IF(LEN(tbl_SeqLib[[#This Row],[Sample ID]])&gt;0,1,0)</calculatedColumnFormula>
    </tableColumn>
    <tableColumn id="7" xr3:uid="{651724DA-3614-4DB1-A854-CB64AE2EFEF8}" name="One or more entries in column" dataDxfId="23">
      <calculatedColumnFormula>IF(SUMIF(tbl_SeqLib[Column],tbl_SeqLib[[#This Row],[Column]],tbl_SeqLib[DNA conc present])&gt;0,1,0)</calculatedColumnFormula>
    </tableColumn>
    <tableColumn id="8" xr3:uid="{BA6A6F46-D3E3-4265-B317-0FD2DD2BE2DA}" name="Calculate" dataDxfId="22">
      <calculatedColumnFormula>IF(SUM(tbl_SeqLib[[#This Row],[DNA conc present]:[Sample ID present]])&gt;0,1,0)</calculatedColumnFormula>
    </tableColumn>
    <tableColumn id="14" xr3:uid="{001B4B8A-7DCB-4BB4-B720-5DA9C2A7387A}" name="Exact" dataDxfId="17">
      <calculatedColumnFormula>IF(LEN(tbl_SeqLib[[#This Row],[PCR '[DNA'] (ng / µl)]])=0,"",IF(endrepair_targetmass/tbl_SeqLib[[#This Row],[PCR '[DNA'] (ng / µl)]]&gt;endrepair_maxvol,endrepair_maxvol,ROUNDUP(SUM(endrepair_targetmass/tbl_SeqLib[[#This Row],[PCR '[DNA'] (ng / µl)]]),1)))</calculatedColumnFormula>
    </tableColumn>
    <tableColumn id="20" xr3:uid="{1FEA1346-E871-470E-AA2A-C8AFB0F9A249}" name="Max for col" dataDxfId="21">
      <calculatedColumnFormula>ROUNDDOWN(_xlfn.MAXIFS(tbl_SeqLib[Exact],tbl_SeqLib[Column],tbl_SeqLib[[#This Row],[Column]]),1)</calculatedColumnFormula>
    </tableColumn>
    <tableColumn id="22" xr3:uid="{3DBE046E-BBA1-40FE-9D15-A56B3030C6C7}" name="Avg per plate" dataDxfId="20">
      <calculatedColumnFormula>AVERAGE(tbl_SeqLib[Exact])</calculatedColumnFormula>
    </tableColumn>
    <tableColumn id="23" xr3:uid="{C00DCD81-1FEF-4ABB-8CC7-499C0C2570E9}" name="Max per plate" dataDxfId="19">
      <calculatedColumnFormula>MAX(tbl_SeqLib[Exact])</calculatedColumnFormula>
    </tableColumn>
    <tableColumn id="11" xr3:uid="{00000000-0010-0000-0000-00000B000000}" name="PCR product (µl) to add for end-repair (calculated)" dataDxfId="18">
      <calculatedColumnFormula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calculatedColumnFormula>
    </tableColumn>
    <tableColumn id="15" xr3:uid="{22CC5A4D-2B43-425F-9880-9E27A697A4AC}" name="PCR product (µl) added (if different from calculated)" dataDxfId="32"/>
    <tableColumn id="12" xr3:uid="{00000000-0010-0000-0000-00000C000000}" name="NF H20 (µl)" dataDxfId="16">
      <calculatedColumnFormula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calculatedColumnFormula>
    </tableColumn>
    <tableColumn id="13" xr3:uid="{00000000-0010-0000-0000-00000D000000}" name="SeqLib Identifier" dataDxfId="31">
      <calculatedColumnFormula>IF(ISBLANK(#REF!),"",CONCATENATE(exp_id,"_",tbl_SeqLib[[#This Row],[Well]]))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expt_metadata" displayName="tbl_expt_metadata" ref="A1:N2" totalsRowShown="0">
  <autoFilter ref="A1:N2" xr:uid="{00000000-0009-0000-0100-000001000000}"/>
  <tableColumns count="14">
    <tableColumn id="1" xr3:uid="{00000000-0010-0000-0100-000001000000}" name="expt_id">
      <calculatedColumnFormula>IF(LEN(exp_id)=0,"",exp_id)</calculatedColumnFormula>
    </tableColumn>
    <tableColumn id="2" xr3:uid="{00000000-0010-0000-0100-000002000000}" name="expt_date">
      <calculatedColumnFormula>IF(LEN(exp_date)=0,"",exp_date)</calculatedColumnFormula>
    </tableColumn>
    <tableColumn id="3" xr3:uid="{00000000-0010-0000-0100-000003000000}" name="expt_user">
      <calculatedColumnFormula>IF(LEN(user_name)=0,"",user_name)</calculatedColumnFormula>
    </tableColumn>
    <tableColumn id="4" xr3:uid="{00000000-0010-0000-0100-000004000000}" name="expt_type">
      <calculatedColumnFormula>IF(LEN(exp_type)=0,"",exp_type)</calculatedColumnFormula>
    </tableColumn>
    <tableColumn id="10" xr3:uid="{9ACB2BE0-6428-4BF6-9B9D-611F810033C5}" name="expt_sub-type">
      <calculatedColumnFormula>exp_subtype</calculatedColumnFormula>
    </tableColumn>
    <tableColumn id="5" xr3:uid="{00000000-0010-0000-0100-000005000000}" name="expt_version">
      <calculatedColumnFormula>IF(LEN(exp_version)=0,"",exp_version)</calculatedColumnFormula>
    </tableColumn>
    <tableColumn id="6" xr3:uid="{00000000-0010-0000-0100-000006000000}" name="expt_notes">
      <calculatedColumnFormula>IF(LEN(exp_notes)=0,"",exp_notes)</calculatedColumnFormula>
    </tableColumn>
    <tableColumn id="7" xr3:uid="{00000000-0010-0000-0100-000007000000}" name="expt_summary">
      <calculatedColumnFormula>IF(LEN(exp_summary)=0,"",exp_summary)</calculatedColumnFormula>
    </tableColumn>
    <tableColumn id="8" xr3:uid="{00000000-0010-0000-0100-000008000000}" name="expt_rxns">
      <calculatedColumnFormula>IF(LEN(exp_rxns)=0,"",exp_rxns)</calculatedColumnFormula>
    </tableColumn>
    <tableColumn id="9" xr3:uid="{00000000-0010-0000-0100-000009000000}" name="endrepair_targetmass_ng">
      <calculatedColumnFormula>IF(LEN(endrepair_targetmass)=0,"",endrepair_targetmass)</calculatedColumnFormula>
    </tableColumn>
    <tableColumn id="11" xr3:uid="{00000000-0010-0000-0100-00000B000000}" name="endrepair_dnaconc_ngul">
      <calculatedColumnFormula>IF(DNAconc_pooled=0,"",DNAconc_pooled)</calculatedColumnFormula>
    </tableColumn>
    <tableColumn id="12" xr3:uid="{00000000-0010-0000-0100-00000C000000}" name="adaptlig_targetmass_ng">
      <calculatedColumnFormula>IF(adaptlig_targetmass=0,"",adaptlig_targetmass)</calculatedColumnFormula>
    </tableColumn>
    <tableColumn id="14" xr3:uid="{00000000-0010-0000-0100-00000E000000}" name="library_dnaconc_ngul">
      <calculatedColumnFormula>IF(DNAconc_library=0,"",DNAconc_library)</calculatedColumnFormula>
    </tableColumn>
    <tableColumn id="21" xr3:uid="{00000000-0010-0000-0100-000015000000}" name="flowcell_checkpores">
      <calculatedColumnFormula>IF(LEN(flowcell_checkpores)=0,"",flowcell_checkpores)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rxn_metadata" displayName="tbl_rxn_metadata" ref="A1:E97" totalsRowShown="0">
  <autoFilter ref="A1:E97" xr:uid="{00000000-0009-0000-0100-000002000000}"/>
  <tableColumns count="5">
    <tableColumn id="1" xr3:uid="{00000000-0010-0000-0200-000001000000}" name="sample_id"/>
    <tableColumn id="2" xr3:uid="{00000000-0010-0000-0200-000002000000}" name="extraction_id"/>
    <tableColumn id="9" xr3:uid="{C321884E-D42D-45E4-BC5D-30F682C7C762}" name="sample_type" dataDxfId="30">
      <calculatedColumnFormula>IF(LEN(Library!F3)=0,"",Library!F3)</calculatedColumnFormula>
    </tableColumn>
    <tableColumn id="7" xr3:uid="{00000000-0010-0000-0200-000007000000}" name="barcode">
      <calculatedColumnFormula>IF(LEN(Library!D3)=0,"",CONCATENATE("barcode",Library!H3))</calculatedColumnFormula>
    </tableColumn>
    <tableColumn id="8" xr3:uid="{00000000-0010-0000-0200-000008000000}" name="endrepair_vol_ul">
      <calculatedColumnFormula>IF(LEN(Library!Q3)=0,"",IF(Library!R3&gt;0,Library!R3,Library!Q3))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2"/>
  <sheetViews>
    <sheetView zoomScale="160" zoomScaleNormal="160" workbookViewId="0">
      <selection activeCell="C2" sqref="C2:F6"/>
    </sheetView>
  </sheetViews>
  <sheetFormatPr defaultColWidth="8.59765625" defaultRowHeight="15.6" x14ac:dyDescent="0.3"/>
  <cols>
    <col min="1" max="8" width="9" style="3" customWidth="1"/>
  </cols>
  <sheetData>
    <row r="1" spans="1:12" x14ac:dyDescent="0.3">
      <c r="A1" s="86" t="s">
        <v>315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15.75" customHeight="1" x14ac:dyDescent="0.3">
      <c r="A2" s="85" t="s">
        <v>0</v>
      </c>
      <c r="B2" s="85"/>
      <c r="C2" s="87"/>
      <c r="D2" s="87"/>
      <c r="E2" s="87"/>
      <c r="F2" s="87"/>
      <c r="G2" s="88" t="s">
        <v>1</v>
      </c>
      <c r="H2" s="88"/>
      <c r="J2" s="89" t="s">
        <v>2</v>
      </c>
      <c r="K2" s="89"/>
    </row>
    <row r="3" spans="1:12" ht="15.75" customHeight="1" x14ac:dyDescent="0.3">
      <c r="A3" s="85" t="s">
        <v>3</v>
      </c>
      <c r="B3" s="85"/>
      <c r="C3" s="90"/>
      <c r="D3" s="90"/>
      <c r="E3" s="90"/>
      <c r="F3" s="90"/>
      <c r="G3" t="s">
        <v>368</v>
      </c>
      <c r="J3" s="91" t="s">
        <v>4</v>
      </c>
      <c r="K3" s="91"/>
    </row>
    <row r="4" spans="1:12" ht="15.75" customHeight="1" x14ac:dyDescent="0.3">
      <c r="A4" s="129" t="s">
        <v>367</v>
      </c>
      <c r="B4" s="129"/>
      <c r="C4" s="130"/>
      <c r="D4" s="130"/>
      <c r="E4" s="130"/>
      <c r="F4" s="130"/>
      <c r="G4" t="s">
        <v>383</v>
      </c>
      <c r="J4" s="92" t="s">
        <v>7</v>
      </c>
      <c r="K4" s="92"/>
    </row>
    <row r="5" spans="1:12" ht="15.75" customHeight="1" x14ac:dyDescent="0.3">
      <c r="A5" s="85" t="s">
        <v>5</v>
      </c>
      <c r="B5" s="85"/>
      <c r="C5" s="87"/>
      <c r="D5" s="87"/>
      <c r="E5" s="87"/>
      <c r="F5" s="87"/>
      <c r="G5" s="76" t="s">
        <v>6</v>
      </c>
      <c r="J5" s="95" t="s">
        <v>10</v>
      </c>
      <c r="K5" s="95"/>
    </row>
    <row r="6" spans="1:12" ht="15.75" customHeight="1" x14ac:dyDescent="0.3">
      <c r="A6" s="81" t="s">
        <v>12</v>
      </c>
      <c r="B6" s="81"/>
      <c r="C6" s="82"/>
      <c r="D6" s="82"/>
      <c r="E6" s="82"/>
      <c r="F6" s="82"/>
      <c r="G6" s="4" t="s">
        <v>366</v>
      </c>
      <c r="J6" s="95"/>
      <c r="K6" s="95"/>
    </row>
    <row r="7" spans="1:12" ht="15.75" customHeight="1" x14ac:dyDescent="0.3">
      <c r="A7" s="93" t="s">
        <v>8</v>
      </c>
      <c r="B7" s="93"/>
      <c r="C7" s="94" t="str">
        <f>IF(OR(ISBLANK(C3),ISBLANK(C5)),"",CONCATENATE("SL",user_initials,C5))</f>
        <v/>
      </c>
      <c r="D7" s="94"/>
      <c r="E7" s="94"/>
      <c r="F7" s="94"/>
      <c r="G7" s="4" t="s">
        <v>9</v>
      </c>
    </row>
    <row r="8" spans="1:12" ht="15.75" customHeight="1" x14ac:dyDescent="0.3">
      <c r="A8" s="93" t="s">
        <v>11</v>
      </c>
      <c r="B8" s="93"/>
      <c r="C8" s="96" t="str">
        <f>IF(OR(ISBLANK(C2),ISBLANK(C3),ISBLANK(C5)),"",CONCATENATE(C2,"_",C7))</f>
        <v/>
      </c>
      <c r="D8" s="96"/>
      <c r="E8" s="96"/>
      <c r="F8" s="96"/>
      <c r="G8" s="4"/>
    </row>
    <row r="9" spans="1:12" ht="15.75" customHeight="1" x14ac:dyDescent="0.3">
      <c r="A9" s="97" t="s">
        <v>13</v>
      </c>
      <c r="B9" s="97"/>
      <c r="C9" s="98" t="str" cm="1">
        <f t="array" ref="C9">IF(LEN(C8)=0,"",CONCATENATE(C8,"_",exp_summary))</f>
        <v/>
      </c>
      <c r="D9" s="98"/>
      <c r="E9" s="98"/>
      <c r="F9" s="98"/>
      <c r="G9" s="98"/>
      <c r="H9" s="98"/>
    </row>
    <row r="10" spans="1:12" ht="15.75" customHeight="1" x14ac:dyDescent="0.3">
      <c r="A10" s="83" t="s">
        <v>14</v>
      </c>
      <c r="B10" s="83"/>
      <c r="C10" s="84">
        <f>COUNTA(tbl_SeqLib[Sample ID])</f>
        <v>0</v>
      </c>
      <c r="D10" s="84"/>
      <c r="E10" s="84"/>
      <c r="F10" s="84"/>
      <c r="G10" s="4" t="s">
        <v>369</v>
      </c>
    </row>
    <row r="11" spans="1:12" ht="15.75" customHeight="1" x14ac:dyDescent="0.3">
      <c r="A11" s="85" t="s">
        <v>15</v>
      </c>
      <c r="B11" s="85"/>
      <c r="C11" s="99"/>
      <c r="D11" s="99"/>
      <c r="E11" s="99"/>
      <c r="F11" s="99"/>
      <c r="G11" s="99"/>
      <c r="H11" s="99"/>
      <c r="I11" s="99"/>
      <c r="J11" s="99"/>
      <c r="K11" s="99"/>
    </row>
    <row r="12" spans="1:12" x14ac:dyDescent="0.3">
      <c r="A12" s="1"/>
      <c r="B12" s="1"/>
      <c r="C12" s="99"/>
      <c r="D12" s="99"/>
      <c r="E12" s="99"/>
      <c r="F12" s="99"/>
      <c r="G12" s="99"/>
      <c r="H12" s="99"/>
      <c r="I12" s="99"/>
      <c r="J12" s="99"/>
      <c r="K12" s="99"/>
    </row>
    <row r="13" spans="1:12" x14ac:dyDescent="0.3">
      <c r="C13" s="5"/>
    </row>
    <row r="14" spans="1:12" x14ac:dyDescent="0.3">
      <c r="A14" s="6" t="s">
        <v>16</v>
      </c>
      <c r="C14" s="7"/>
      <c r="G14" s="7"/>
      <c r="I14" s="100" t="s">
        <v>17</v>
      </c>
      <c r="J14" s="100"/>
      <c r="K14" s="100"/>
    </row>
    <row r="15" spans="1:12" x14ac:dyDescent="0.3">
      <c r="A15" s="8" t="s">
        <v>288</v>
      </c>
      <c r="B15" s="8"/>
      <c r="C15" s="8"/>
      <c r="D15" s="8"/>
      <c r="E15" s="8"/>
      <c r="F15" s="24">
        <v>800</v>
      </c>
      <c r="G15" s="8" t="str">
        <f>CONCATENATE("ng added, max vol = ", endrepair_maxvol, " µl, max 800ng")</f>
        <v>ng added, max vol = 10 µl, max 800ng</v>
      </c>
      <c r="H15" s="4"/>
    </row>
    <row r="16" spans="1:12" s="3" customFormat="1" x14ac:dyDescent="0.3">
      <c r="A16" s="4" t="s">
        <v>18</v>
      </c>
      <c r="C16" s="2" t="s">
        <v>19</v>
      </c>
      <c r="D16" s="26">
        <v>0.1</v>
      </c>
      <c r="F16" s="5"/>
    </row>
    <row r="17" spans="1:11" s="3" customFormat="1" ht="15.75" customHeight="1" x14ac:dyDescent="0.3">
      <c r="A17" s="101" t="s">
        <v>20</v>
      </c>
      <c r="B17" s="101"/>
      <c r="C17" s="101"/>
      <c r="D17" s="102" t="s">
        <v>21</v>
      </c>
      <c r="E17" s="102"/>
      <c r="F17" s="102" t="str">
        <f>CONCATENATE("MM x",exp_rxns," (µl)")</f>
        <v>MM x0 (µl)</v>
      </c>
      <c r="G17" s="102"/>
      <c r="I17" s="103" t="s">
        <v>22</v>
      </c>
      <c r="J17" s="103"/>
      <c r="K17" s="10" t="s">
        <v>23</v>
      </c>
    </row>
    <row r="18" spans="1:11" s="3" customFormat="1" ht="15.75" customHeight="1" x14ac:dyDescent="0.3">
      <c r="A18" s="104" t="s">
        <v>24</v>
      </c>
      <c r="B18" s="104"/>
      <c r="C18" s="104"/>
      <c r="D18" s="105" t="s">
        <v>25</v>
      </c>
      <c r="E18" s="105"/>
      <c r="F18" s="106" t="s">
        <v>26</v>
      </c>
      <c r="G18" s="106"/>
      <c r="I18" s="107">
        <v>20</v>
      </c>
      <c r="J18" s="107"/>
      <c r="K18" s="7">
        <v>15</v>
      </c>
    </row>
    <row r="19" spans="1:11" s="3" customFormat="1" ht="18.75" customHeight="1" x14ac:dyDescent="0.3">
      <c r="A19" s="104" t="s">
        <v>27</v>
      </c>
      <c r="B19" s="104"/>
      <c r="C19" s="104"/>
      <c r="D19" s="105" t="str">
        <f>CONCATENATE(endrepair_maxvol, " - x")</f>
        <v>10 - x</v>
      </c>
      <c r="E19" s="105"/>
      <c r="F19" s="106" t="s">
        <v>26</v>
      </c>
      <c r="G19" s="106"/>
      <c r="I19" s="107">
        <v>65</v>
      </c>
      <c r="J19" s="107"/>
      <c r="K19" s="7">
        <v>15</v>
      </c>
    </row>
    <row r="20" spans="1:11" s="3" customFormat="1" ht="25.35" customHeight="1" x14ac:dyDescent="0.3">
      <c r="A20" s="104" t="s">
        <v>28</v>
      </c>
      <c r="B20" s="104"/>
      <c r="C20" s="104"/>
      <c r="D20" s="108">
        <v>1.4</v>
      </c>
      <c r="E20" s="108"/>
      <c r="F20" s="106">
        <f>SUM(D20*exp_rxns*(1+$D$16))</f>
        <v>0</v>
      </c>
      <c r="G20" s="106"/>
      <c r="I20" s="107">
        <v>4</v>
      </c>
      <c r="J20" s="107"/>
      <c r="K20" s="3" t="s">
        <v>29</v>
      </c>
    </row>
    <row r="21" spans="1:11" s="3" customFormat="1" ht="15.75" customHeight="1" x14ac:dyDescent="0.3">
      <c r="A21" s="104" t="s">
        <v>30</v>
      </c>
      <c r="B21" s="104"/>
      <c r="C21" s="104"/>
      <c r="D21" s="108">
        <v>0.6</v>
      </c>
      <c r="E21" s="108"/>
      <c r="F21" s="106">
        <f>SUM(D21*exp_rxns*(1+$D$16))</f>
        <v>0</v>
      </c>
      <c r="G21" s="106"/>
    </row>
    <row r="22" spans="1:11" s="3" customFormat="1" x14ac:dyDescent="0.3">
      <c r="A22" s="7"/>
      <c r="D22" s="109">
        <f>SUM(D20:D21)+endrepair_maxvol</f>
        <v>12</v>
      </c>
      <c r="E22" s="109"/>
      <c r="F22" s="12" t="str">
        <f>CONCATENATE("Add ",SUM(D20:D21)," µl of MM to each")</f>
        <v>Add 2 µl of MM to each</v>
      </c>
    </row>
    <row r="23" spans="1:11" s="3" customFormat="1" x14ac:dyDescent="0.3">
      <c r="A23" s="7"/>
      <c r="D23" s="11"/>
      <c r="E23" s="11"/>
      <c r="F23" s="12"/>
    </row>
    <row r="24" spans="1:11" s="3" customFormat="1" x14ac:dyDescent="0.3">
      <c r="A24" s="8" t="s">
        <v>31</v>
      </c>
      <c r="B24" s="13"/>
      <c r="C24" s="2" t="s">
        <v>19</v>
      </c>
      <c r="D24" s="9">
        <v>0.1</v>
      </c>
    </row>
    <row r="25" spans="1:11" s="3" customFormat="1" ht="15.75" customHeight="1" x14ac:dyDescent="0.3">
      <c r="A25" s="101" t="s">
        <v>20</v>
      </c>
      <c r="B25" s="101"/>
      <c r="C25" s="101"/>
      <c r="D25" s="102" t="s">
        <v>21</v>
      </c>
      <c r="E25" s="102"/>
      <c r="F25" s="102" t="str">
        <f>CONCATENATE("MM x",exp_rxns," (µl)")</f>
        <v>MM x0 (µl)</v>
      </c>
      <c r="G25" s="102"/>
      <c r="I25" s="103" t="s">
        <v>22</v>
      </c>
      <c r="J25" s="103"/>
      <c r="K25" s="10" t="s">
        <v>23</v>
      </c>
    </row>
    <row r="26" spans="1:11" s="3" customFormat="1" ht="15.75" customHeight="1" x14ac:dyDescent="0.3">
      <c r="A26" s="104" t="s">
        <v>32</v>
      </c>
      <c r="B26" s="104"/>
      <c r="C26" s="104"/>
      <c r="D26" s="105">
        <v>0.5</v>
      </c>
      <c r="E26" s="105"/>
      <c r="F26" s="106" t="s">
        <v>26</v>
      </c>
      <c r="G26" s="106"/>
      <c r="I26" s="107">
        <v>20</v>
      </c>
      <c r="J26" s="107"/>
      <c r="K26" s="7">
        <v>20</v>
      </c>
    </row>
    <row r="27" spans="1:11" s="3" customFormat="1" ht="15.75" customHeight="1" x14ac:dyDescent="0.3">
      <c r="A27" s="104" t="s">
        <v>33</v>
      </c>
      <c r="B27" s="104"/>
      <c r="C27" s="104"/>
      <c r="D27" s="105">
        <v>6</v>
      </c>
      <c r="E27" s="105"/>
      <c r="F27" s="106">
        <f>SUM(D27*exp_rxns*(1+$D$24))</f>
        <v>0</v>
      </c>
      <c r="G27" s="106"/>
      <c r="I27" s="107">
        <v>65</v>
      </c>
      <c r="J27" s="107"/>
      <c r="K27" s="7">
        <v>10</v>
      </c>
    </row>
    <row r="28" spans="1:11" s="3" customFormat="1" ht="15.75" customHeight="1" x14ac:dyDescent="0.3">
      <c r="A28" s="104" t="s">
        <v>34</v>
      </c>
      <c r="B28" s="104"/>
      <c r="C28" s="104"/>
      <c r="D28" s="105">
        <v>0.2</v>
      </c>
      <c r="E28" s="105"/>
      <c r="F28" s="106">
        <f>SUM(D28*exp_rxns*(1+$D$24))</f>
        <v>0</v>
      </c>
      <c r="G28" s="106"/>
      <c r="I28" s="107">
        <v>8</v>
      </c>
      <c r="J28" s="107"/>
      <c r="K28" s="3" t="s">
        <v>29</v>
      </c>
    </row>
    <row r="29" spans="1:11" s="3" customFormat="1" x14ac:dyDescent="0.3">
      <c r="A29" s="7"/>
      <c r="D29" s="110">
        <f>SUM(D26:D28)+D22</f>
        <v>18.7</v>
      </c>
      <c r="E29" s="110"/>
      <c r="F29" s="12" t="str">
        <f>CONCATENATE("Add ",SUM(D27:D28)," µl of MM to each")</f>
        <v>Add 6.2 µl of MM to each</v>
      </c>
    </row>
    <row r="31" spans="1:11" x14ac:dyDescent="0.3">
      <c r="A31" s="6" t="s">
        <v>35</v>
      </c>
      <c r="C31" s="7"/>
    </row>
    <row r="32" spans="1:11" ht="47.4" thickBot="1" x14ac:dyDescent="0.35">
      <c r="A32" s="62" t="s">
        <v>327</v>
      </c>
      <c r="B32" s="62" t="s">
        <v>328</v>
      </c>
      <c r="C32" s="62" t="s">
        <v>332</v>
      </c>
      <c r="D32" s="62" t="s">
        <v>330</v>
      </c>
      <c r="E32" s="62" t="s">
        <v>331</v>
      </c>
      <c r="F32" s="62" t="s">
        <v>329</v>
      </c>
      <c r="G32" s="62" t="s">
        <v>333</v>
      </c>
    </row>
    <row r="33" spans="1:11" x14ac:dyDescent="0.3">
      <c r="A33" s="65"/>
      <c r="B33" s="64" t="str">
        <f>IF(OR(ISBLANK(A33),ISBLANK(exp_rxns)),"",SUM(A33*exp_rxns))</f>
        <v/>
      </c>
      <c r="C33" s="65">
        <v>0.4</v>
      </c>
      <c r="D33" s="64" t="str">
        <f>IFERROR(SUM(B33*C33),"")</f>
        <v/>
      </c>
      <c r="E33" s="65"/>
      <c r="F33" s="65"/>
      <c r="G33" s="65"/>
    </row>
    <row r="34" spans="1:11" ht="15.75" customHeight="1" x14ac:dyDescent="0.3">
      <c r="A34" s="52" t="s">
        <v>337</v>
      </c>
      <c r="B34" s="8"/>
      <c r="C34" s="8"/>
      <c r="D34" s="8"/>
      <c r="E34" s="8"/>
      <c r="F34" s="8"/>
      <c r="G34" s="23"/>
    </row>
    <row r="35" spans="1:11" ht="30.75" customHeight="1" x14ac:dyDescent="0.3">
      <c r="A35" s="115" t="s">
        <v>336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</row>
    <row r="36" spans="1:11" ht="15.75" customHeight="1" x14ac:dyDescent="0.3">
      <c r="A36" s="52" t="s">
        <v>335</v>
      </c>
      <c r="B36" s="8"/>
      <c r="C36" s="8"/>
      <c r="D36" s="8"/>
      <c r="E36" s="8"/>
      <c r="F36" s="8"/>
      <c r="G36" s="8"/>
    </row>
    <row r="37" spans="1:11" ht="46.5" customHeight="1" x14ac:dyDescent="0.3">
      <c r="A37" s="14" t="s">
        <v>36</v>
      </c>
      <c r="B37" s="15" t="s">
        <v>37</v>
      </c>
      <c r="C37" s="15" t="s">
        <v>38</v>
      </c>
      <c r="D37" s="111" t="s">
        <v>39</v>
      </c>
      <c r="E37" s="111"/>
    </row>
    <row r="38" spans="1:11" x14ac:dyDescent="0.3">
      <c r="A38" s="16">
        <f>SUM(exp_rxns*D29)*0.4</f>
        <v>0</v>
      </c>
      <c r="B38" s="27"/>
      <c r="C38" s="27"/>
      <c r="D38" s="112">
        <f>SUM(B38*C38)</f>
        <v>0</v>
      </c>
      <c r="E38" s="112"/>
    </row>
    <row r="40" spans="1:11" x14ac:dyDescent="0.3">
      <c r="A40" s="6" t="s">
        <v>40</v>
      </c>
    </row>
    <row r="41" spans="1:11" x14ac:dyDescent="0.3">
      <c r="A41" s="4" t="s">
        <v>289</v>
      </c>
      <c r="B41" s="24"/>
      <c r="C41" s="8" t="s">
        <v>290</v>
      </c>
      <c r="F41" s="24">
        <v>50</v>
      </c>
      <c r="G41" s="4" t="str">
        <f>_xlfn.CONCAT("µl (recommend 1500 ng of product in ",adaptlig_dna_maxvol," µl max)")</f>
        <v>µl (recommend 1500 ng of product in 30 µl max)</v>
      </c>
    </row>
    <row r="42" spans="1:11" ht="15.75" customHeight="1" thickBot="1" x14ac:dyDescent="0.35">
      <c r="A42" s="103" t="s">
        <v>20</v>
      </c>
      <c r="B42" s="103"/>
      <c r="C42" s="103"/>
      <c r="D42" s="113" t="s">
        <v>21</v>
      </c>
      <c r="E42" s="113"/>
      <c r="I42" s="103" t="s">
        <v>22</v>
      </c>
      <c r="J42" s="103"/>
      <c r="K42" s="10" t="s">
        <v>23</v>
      </c>
    </row>
    <row r="43" spans="1:11" ht="15.75" customHeight="1" x14ac:dyDescent="0.3">
      <c r="A43" s="104" t="s">
        <v>41</v>
      </c>
      <c r="B43" s="104"/>
      <c r="C43" s="104"/>
      <c r="D43" s="114">
        <f>IF(B38="",adaptlig_dna_maxvol,IF(SUM(adaptlig_targetmass/D38)&gt;adaptlig_dna_maxvol,adaptlig_dna_maxvol,SUM(adaptlig_targetmass/D38)))</f>
        <v>30</v>
      </c>
      <c r="E43" s="114"/>
      <c r="F43" s="4"/>
      <c r="I43" s="107" t="s">
        <v>42</v>
      </c>
      <c r="J43" s="107"/>
      <c r="K43" s="7">
        <v>10</v>
      </c>
    </row>
    <row r="44" spans="1:11" ht="15.75" customHeight="1" x14ac:dyDescent="0.3">
      <c r="A44" s="104" t="s">
        <v>27</v>
      </c>
      <c r="B44" s="104"/>
      <c r="C44" s="104"/>
      <c r="D44" s="114">
        <f>IFERROR(SUM(adaptlig_dna_maxvol-D43),"")</f>
        <v>0</v>
      </c>
      <c r="E44" s="114"/>
      <c r="F44" s="7"/>
    </row>
    <row r="45" spans="1:11" ht="15.75" customHeight="1" x14ac:dyDescent="0.3">
      <c r="A45" s="104" t="s">
        <v>43</v>
      </c>
      <c r="B45" s="104"/>
      <c r="C45" s="104"/>
      <c r="D45" s="94">
        <v>5</v>
      </c>
      <c r="E45" s="94"/>
    </row>
    <row r="46" spans="1:11" ht="15.75" customHeight="1" x14ac:dyDescent="0.3">
      <c r="A46" s="104" t="s">
        <v>311</v>
      </c>
      <c r="B46" s="104"/>
      <c r="C46" s="104"/>
      <c r="D46" s="94">
        <f>SUM(adaptlig_rxn_vol/5)</f>
        <v>10</v>
      </c>
      <c r="E46" s="94"/>
    </row>
    <row r="47" spans="1:11" ht="15.75" customHeight="1" x14ac:dyDescent="0.3">
      <c r="A47" s="104" t="s">
        <v>44</v>
      </c>
      <c r="B47" s="104"/>
      <c r="C47" s="104"/>
      <c r="D47" s="94">
        <f>SUM(adaptlig_rxn_vol/10)</f>
        <v>5</v>
      </c>
      <c r="E47" s="94"/>
    </row>
    <row r="48" spans="1:11" x14ac:dyDescent="0.3">
      <c r="D48" s="117">
        <f>SUM(D43:D47)</f>
        <v>50</v>
      </c>
      <c r="E48" s="117"/>
    </row>
    <row r="50" spans="1:12" x14ac:dyDescent="0.3">
      <c r="A50" s="6" t="s">
        <v>312</v>
      </c>
    </row>
    <row r="51" spans="1:12" x14ac:dyDescent="0.3">
      <c r="B51" s="1" t="s">
        <v>313</v>
      </c>
      <c r="C51" s="33"/>
      <c r="D51" s="52" t="s">
        <v>334</v>
      </c>
    </row>
    <row r="52" spans="1:12" x14ac:dyDescent="0.3">
      <c r="A52" s="116" t="s">
        <v>314</v>
      </c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</row>
    <row r="53" spans="1:12" x14ac:dyDescent="0.3">
      <c r="A53" s="52" t="s">
        <v>335</v>
      </c>
      <c r="B53" s="8"/>
      <c r="C53" s="8"/>
      <c r="D53" s="8"/>
      <c r="E53" s="8"/>
      <c r="F53" s="8"/>
      <c r="G53" s="8"/>
      <c r="I53" s="52"/>
      <c r="J53" s="52"/>
      <c r="K53" s="52"/>
      <c r="L53" s="63"/>
    </row>
    <row r="54" spans="1:12" ht="32.25" customHeight="1" thickBot="1" x14ac:dyDescent="0.35">
      <c r="A54" s="101" t="s">
        <v>36</v>
      </c>
      <c r="B54" s="101"/>
      <c r="C54" s="101" t="s">
        <v>45</v>
      </c>
      <c r="D54" s="101"/>
      <c r="E54" s="101" t="s">
        <v>38</v>
      </c>
      <c r="F54" s="101"/>
      <c r="G54" s="101" t="s">
        <v>46</v>
      </c>
      <c r="H54" s="101"/>
    </row>
    <row r="55" spans="1:12" x14ac:dyDescent="0.3">
      <c r="A55" s="119">
        <f>SUM(adaptlig_rxn_vol*0.5)</f>
        <v>25</v>
      </c>
      <c r="B55" s="119"/>
      <c r="C55" s="120"/>
      <c r="D55" s="120"/>
      <c r="E55" s="120"/>
      <c r="F55" s="120"/>
      <c r="G55" s="107">
        <f>SUM(C55*E55)</f>
        <v>0</v>
      </c>
      <c r="H55" s="107"/>
    </row>
    <row r="57" spans="1:12" x14ac:dyDescent="0.3">
      <c r="A57" s="6" t="s">
        <v>371</v>
      </c>
    </row>
    <row r="58" spans="1:12" x14ac:dyDescent="0.3">
      <c r="A58" s="85" t="s">
        <v>52</v>
      </c>
      <c r="B58" s="85"/>
      <c r="C58" s="82"/>
      <c r="D58" s="82"/>
      <c r="E58" s="8" t="s">
        <v>53</v>
      </c>
    </row>
    <row r="59" spans="1:12" ht="15.6" customHeight="1" x14ac:dyDescent="0.3">
      <c r="A59" s="8" t="s">
        <v>372</v>
      </c>
    </row>
    <row r="60" spans="1:12" x14ac:dyDescent="0.3">
      <c r="A60" s="8" t="s">
        <v>373</v>
      </c>
    </row>
    <row r="61" spans="1:12" x14ac:dyDescent="0.3">
      <c r="A61" s="8" t="s">
        <v>374</v>
      </c>
    </row>
    <row r="62" spans="1:12" x14ac:dyDescent="0.3">
      <c r="A62" s="8" t="s">
        <v>375</v>
      </c>
    </row>
    <row r="63" spans="1:12" x14ac:dyDescent="0.3">
      <c r="A63" s="8"/>
    </row>
    <row r="64" spans="1:12" x14ac:dyDescent="0.3">
      <c r="A64" s="6" t="s">
        <v>370</v>
      </c>
    </row>
    <row r="65" spans="1:8" x14ac:dyDescent="0.3">
      <c r="A65" s="4" t="s">
        <v>289</v>
      </c>
      <c r="B65" s="24">
        <v>800</v>
      </c>
      <c r="C65" s="8" t="str">
        <f>CONCATENATE("ng of library (max volume = ", flowcell_maxvol,"µl), recommend 800 ng")</f>
        <v>ng of library (max volume = 12µl), recommend 800 ng</v>
      </c>
      <c r="H65" s="17"/>
    </row>
    <row r="66" spans="1:8" ht="15.75" customHeight="1" x14ac:dyDescent="0.3">
      <c r="A66" s="103" t="s">
        <v>20</v>
      </c>
      <c r="B66" s="103"/>
      <c r="C66" s="103"/>
      <c r="D66" s="113" t="s">
        <v>21</v>
      </c>
      <c r="E66" s="113"/>
    </row>
    <row r="67" spans="1:8" ht="15.75" customHeight="1" x14ac:dyDescent="0.3">
      <c r="A67" s="111" t="s">
        <v>47</v>
      </c>
      <c r="B67" s="111"/>
      <c r="C67" s="111"/>
      <c r="D67" s="114">
        <f>IF(C55="",flowcell_maxvol,IF(SUM(flowcell_targetmass/G55)&gt;flowcell_maxvol,flowcell_maxvol,SUM(flowcell_targetmass/G55)))</f>
        <v>12</v>
      </c>
      <c r="E67" s="114"/>
    </row>
    <row r="68" spans="1:8" ht="15.75" customHeight="1" x14ac:dyDescent="0.3">
      <c r="A68" s="111" t="s">
        <v>48</v>
      </c>
      <c r="B68" s="111"/>
      <c r="C68" s="111"/>
      <c r="D68" s="114" t="str">
        <f>IFERROR((IF(SUM(12-D67)=0,"-",SUM(12-D67))),"")</f>
        <v>-</v>
      </c>
      <c r="E68" s="114"/>
    </row>
    <row r="69" spans="1:8" ht="15.75" customHeight="1" x14ac:dyDescent="0.3">
      <c r="A69" s="104" t="s">
        <v>316</v>
      </c>
      <c r="B69" s="104"/>
      <c r="C69" s="104"/>
      <c r="D69" s="118">
        <v>37.5</v>
      </c>
      <c r="E69" s="118"/>
    </row>
    <row r="70" spans="1:8" ht="15.75" customHeight="1" x14ac:dyDescent="0.3">
      <c r="A70" s="104" t="s">
        <v>317</v>
      </c>
      <c r="B70" s="104"/>
      <c r="C70" s="104"/>
      <c r="D70" s="118">
        <v>25.5</v>
      </c>
      <c r="E70" s="118"/>
      <c r="F70" s="4" t="s">
        <v>49</v>
      </c>
    </row>
    <row r="71" spans="1:8" x14ac:dyDescent="0.3">
      <c r="A71" s="8" t="s">
        <v>376</v>
      </c>
    </row>
    <row r="72" spans="1:8" x14ac:dyDescent="0.3">
      <c r="A72" s="52" t="s">
        <v>377</v>
      </c>
    </row>
  </sheetData>
  <mergeCells count="103">
    <mergeCell ref="A70:C70"/>
    <mergeCell ref="D70:E70"/>
    <mergeCell ref="A54:B54"/>
    <mergeCell ref="C54:D54"/>
    <mergeCell ref="E54:F54"/>
    <mergeCell ref="G54:H54"/>
    <mergeCell ref="A55:B55"/>
    <mergeCell ref="C55:D55"/>
    <mergeCell ref="E55:F55"/>
    <mergeCell ref="G55:H55"/>
    <mergeCell ref="C58:D58"/>
    <mergeCell ref="A66:C66"/>
    <mergeCell ref="D66:E66"/>
    <mergeCell ref="A67:C67"/>
    <mergeCell ref="D67:E67"/>
    <mergeCell ref="A68:C68"/>
    <mergeCell ref="D68:E68"/>
    <mergeCell ref="A69:C69"/>
    <mergeCell ref="D69:E69"/>
    <mergeCell ref="A52:L52"/>
    <mergeCell ref="A44:C44"/>
    <mergeCell ref="D44:E44"/>
    <mergeCell ref="A45:C45"/>
    <mergeCell ref="D45:E45"/>
    <mergeCell ref="A46:C46"/>
    <mergeCell ref="D46:E46"/>
    <mergeCell ref="A47:C47"/>
    <mergeCell ref="D47:E47"/>
    <mergeCell ref="D48:E48"/>
    <mergeCell ref="D37:E37"/>
    <mergeCell ref="D38:E38"/>
    <mergeCell ref="A42:C42"/>
    <mergeCell ref="D42:E42"/>
    <mergeCell ref="I42:J42"/>
    <mergeCell ref="A43:C43"/>
    <mergeCell ref="D43:E43"/>
    <mergeCell ref="I43:J43"/>
    <mergeCell ref="A35:K35"/>
    <mergeCell ref="A27:C27"/>
    <mergeCell ref="D27:E27"/>
    <mergeCell ref="F27:G27"/>
    <mergeCell ref="I27:J27"/>
    <mergeCell ref="A28:C28"/>
    <mergeCell ref="D28:E28"/>
    <mergeCell ref="F28:G28"/>
    <mergeCell ref="I28:J28"/>
    <mergeCell ref="D29:E29"/>
    <mergeCell ref="D22:E22"/>
    <mergeCell ref="A25:C25"/>
    <mergeCell ref="D25:E25"/>
    <mergeCell ref="F25:G25"/>
    <mergeCell ref="I25:J25"/>
    <mergeCell ref="A26:C26"/>
    <mergeCell ref="D26:E26"/>
    <mergeCell ref="F26:G26"/>
    <mergeCell ref="I26:J26"/>
    <mergeCell ref="A19:C19"/>
    <mergeCell ref="D19:E19"/>
    <mergeCell ref="F19:G19"/>
    <mergeCell ref="I19:J19"/>
    <mergeCell ref="A20:C20"/>
    <mergeCell ref="D20:E20"/>
    <mergeCell ref="F20:G20"/>
    <mergeCell ref="I20:J20"/>
    <mergeCell ref="A21:C21"/>
    <mergeCell ref="D21:E21"/>
    <mergeCell ref="F21:G21"/>
    <mergeCell ref="A10:B10"/>
    <mergeCell ref="A11:B11"/>
    <mergeCell ref="C11:K12"/>
    <mergeCell ref="I14:K14"/>
    <mergeCell ref="A17:C17"/>
    <mergeCell ref="D17:E17"/>
    <mergeCell ref="F17:G17"/>
    <mergeCell ref="I17:J17"/>
    <mergeCell ref="A18:C18"/>
    <mergeCell ref="D18:E18"/>
    <mergeCell ref="F18:G18"/>
    <mergeCell ref="I18:J18"/>
    <mergeCell ref="A6:B6"/>
    <mergeCell ref="C6:F6"/>
    <mergeCell ref="A4:B4"/>
    <mergeCell ref="C4:F4"/>
    <mergeCell ref="C10:F10"/>
    <mergeCell ref="A58:B58"/>
    <mergeCell ref="A1:L1"/>
    <mergeCell ref="A2:B2"/>
    <mergeCell ref="C2:F2"/>
    <mergeCell ref="G2:H2"/>
    <mergeCell ref="J2:K2"/>
    <mergeCell ref="A3:B3"/>
    <mergeCell ref="C3:F3"/>
    <mergeCell ref="J3:K3"/>
    <mergeCell ref="A5:B5"/>
    <mergeCell ref="C5:F5"/>
    <mergeCell ref="J4:K4"/>
    <mergeCell ref="A7:B7"/>
    <mergeCell ref="C7:F7"/>
    <mergeCell ref="J5:K6"/>
    <mergeCell ref="A8:B8"/>
    <mergeCell ref="C8:F8"/>
    <mergeCell ref="A9:B9"/>
    <mergeCell ref="C9:H9"/>
  </mergeCells>
  <conditionalFormatting sqref="F15 B38:C38 B41 C55:E55 C2:C6">
    <cfRule type="expression" dxfId="15" priority="13">
      <formula>COUNTIF(B2,"")</formula>
    </cfRule>
  </conditionalFormatting>
  <conditionalFormatting sqref="C11 A33">
    <cfRule type="expression" dxfId="14" priority="8">
      <formula>COUNTIF(A11,"")</formula>
    </cfRule>
  </conditionalFormatting>
  <conditionalFormatting sqref="C33">
    <cfRule type="expression" dxfId="13" priority="4">
      <formula>COUNTIF(C33,"")</formula>
    </cfRule>
  </conditionalFormatting>
  <conditionalFormatting sqref="C51">
    <cfRule type="expression" dxfId="12" priority="5">
      <formula>COUNTIF(C51,"")</formula>
    </cfRule>
  </conditionalFormatting>
  <conditionalFormatting sqref="C58 B65">
    <cfRule type="expression" dxfId="11" priority="10">
      <formula>COUNTIF(B58,"")</formula>
    </cfRule>
  </conditionalFormatting>
  <conditionalFormatting sqref="C58">
    <cfRule type="cellIs" dxfId="10" priority="14" operator="lessThan">
      <formula>800</formula>
    </cfRule>
    <cfRule type="cellIs" dxfId="9" priority="15" operator="greaterThanOrEqual">
      <formula>800</formula>
    </cfRule>
  </conditionalFormatting>
  <conditionalFormatting sqref="D38">
    <cfRule type="cellIs" dxfId="8" priority="18" operator="lessThan">
      <formula>2</formula>
    </cfRule>
    <cfRule type="cellIs" dxfId="7" priority="19" operator="greaterThanOrEqual">
      <formula>2</formula>
    </cfRule>
  </conditionalFormatting>
  <conditionalFormatting sqref="E33:G33">
    <cfRule type="expression" dxfId="6" priority="7">
      <formula>COUNTIF(E33,"")</formula>
    </cfRule>
  </conditionalFormatting>
  <conditionalFormatting sqref="F41">
    <cfRule type="expression" dxfId="5" priority="11">
      <formula>COUNTIF(F41,"")</formula>
    </cfRule>
  </conditionalFormatting>
  <dataValidations count="5">
    <dataValidation allowBlank="1" showInputMessage="1" showErrorMessage="1" errorTitle="Experimental Aim" error="The aim must be 5-20 characters long as it is used to name folders downstream so can not be too verbose." sqref="C9" xr:uid="{00000000-0002-0000-0000-000000000000}">
      <formula1>0</formula1>
      <formula2>0</formula2>
    </dataValidation>
    <dataValidation type="whole" allowBlank="1" showInputMessage="1" showErrorMessage="1" error="Minimum 200ng / Maximum 800 ng should be added per sample" sqref="F15" xr:uid="{77FA29BE-4BF7-4DBB-8F9D-E8DA28B60EE6}">
      <formula1>200</formula1>
      <formula2>800</formula2>
    </dataValidation>
    <dataValidation type="whole" allowBlank="1" showInputMessage="1" showErrorMessage="1" sqref="B65" xr:uid="{9692DBAD-DA3C-491D-943D-13D26695D34C}">
      <formula1>400</formula1>
      <formula2>1500</formula2>
    </dataValidation>
    <dataValidation type="custom" allowBlank="1" showInputMessage="1" showErrorMessage="1" errorTitle="Incorrect Format" error="Exp Number should be three digits long" sqref="C5:F5" xr:uid="{FE99E680-8F58-4329-B56C-E890C7BD5615}">
      <formula1>LEN(C5)=3</formula1>
    </dataValidation>
    <dataValidation type="textLength" operator="equal" allowBlank="1" showInputMessage="1" showErrorMessage="1" sqref="C4:F4" xr:uid="{1BE2747C-0A95-4133-8301-795715E2AB5D}">
      <formula1>2</formula1>
    </dataValidation>
  </dataValidations>
  <pageMargins left="0.70833333333333304" right="0.70833333333333304" top="0.74791666666666701" bottom="0.74861111111111101" header="0.511811023622047" footer="0.31527777777777799"/>
  <pageSetup paperSize="9" scale="75" fitToHeight="0" orientation="portrait" horizontalDpi="300" verticalDpi="300" r:id="rId1"/>
  <headerFooter>
    <oddFooter>&amp;CPage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" operator="lessThan" id="{F2961990-09EF-4874-8343-75AA7400F7E9}">
            <xm:f>Reference!$B$20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7" operator="greaterThanOrEqual" id="{D1C1E73E-7899-481F-B6F9-19D5EC385B53}">
            <xm:f>Reference!$B$20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G55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9EA06E1-B72E-4158-9E78-547DCB9CC597}">
          <x14:formula1>
            <xm:f>Reference!$E$21:$E$22</xm:f>
          </x14:formula1>
          <xm:sqref>F41</xm:sqref>
        </x14:dataValidation>
        <x14:dataValidation type="list" allowBlank="1" showInputMessage="1" showErrorMessage="1" xr:uid="{18233F5E-F0C9-4D48-8942-CE3D9609CBE0}">
          <x14:formula1>
            <xm:f>Reference!$E$48:$E$49</xm:f>
          </x14:formula1>
          <xm:sqref>F33</xm:sqref>
        </x14:dataValidation>
        <x14:dataValidation type="list" allowBlank="1" showInputMessage="1" showErrorMessage="1" xr:uid="{C8AB4769-634A-4E55-85CA-F2BAE73B69BB}">
          <x14:formula1>
            <xm:f>Reference!$E$52:$E$53</xm:f>
          </x14:formula1>
          <xm:sqref>G33</xm:sqref>
        </x14:dataValidation>
        <x14:dataValidation type="list" allowBlank="1" showInputMessage="1" showErrorMessage="1" xr:uid="{54296D6C-D78B-478F-8C08-7A7D34E2F030}">
          <x14:formula1>
            <xm:f>Reference!$E$61:$E$62</xm:f>
          </x14:formula1>
          <xm:sqref>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T111"/>
  <sheetViews>
    <sheetView topLeftCell="E1" zoomScale="130" zoomScaleNormal="130" workbookViewId="0">
      <selection activeCell="R6" sqref="R6"/>
    </sheetView>
  </sheetViews>
  <sheetFormatPr defaultColWidth="11" defaultRowHeight="15.6" x14ac:dyDescent="0.3"/>
  <cols>
    <col min="1" max="2" width="6.59765625" hidden="1" customWidth="1"/>
    <col min="3" max="3" width="6.59765625" customWidth="1"/>
    <col min="4" max="5" width="11.8984375" customWidth="1"/>
    <col min="6" max="6" width="12.59765625" style="3" customWidth="1"/>
    <col min="9" max="16" width="11" hidden="1" customWidth="1"/>
    <col min="20" max="20" width="0" hidden="1" customWidth="1"/>
  </cols>
  <sheetData>
    <row r="1" spans="1:20" x14ac:dyDescent="0.3">
      <c r="C1" s="33"/>
      <c r="D1" s="121" t="s">
        <v>54</v>
      </c>
      <c r="E1" s="121"/>
      <c r="F1" s="121"/>
      <c r="G1" s="75"/>
      <c r="H1" s="122" t="s">
        <v>55</v>
      </c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20" s="14" customFormat="1" ht="95.4" thickBot="1" x14ac:dyDescent="0.45">
      <c r="A2" s="35" t="s">
        <v>56</v>
      </c>
      <c r="B2" s="35" t="s">
        <v>300</v>
      </c>
      <c r="C2" s="35" t="s">
        <v>57</v>
      </c>
      <c r="D2" s="53" t="s">
        <v>58</v>
      </c>
      <c r="E2" s="53" t="s">
        <v>59</v>
      </c>
      <c r="F2" s="53" t="s">
        <v>345</v>
      </c>
      <c r="G2" s="54" t="s">
        <v>60</v>
      </c>
      <c r="H2" s="55" t="s">
        <v>61</v>
      </c>
      <c r="I2" s="80" t="s">
        <v>379</v>
      </c>
      <c r="J2" s="55" t="s">
        <v>380</v>
      </c>
      <c r="K2" s="55" t="s">
        <v>381</v>
      </c>
      <c r="L2" s="55" t="s">
        <v>382</v>
      </c>
      <c r="M2" s="55" t="s">
        <v>302</v>
      </c>
      <c r="N2" s="55" t="s">
        <v>325</v>
      </c>
      <c r="O2" s="55" t="s">
        <v>324</v>
      </c>
      <c r="P2" s="55" t="s">
        <v>304</v>
      </c>
      <c r="Q2" s="55" t="s">
        <v>354</v>
      </c>
      <c r="R2" s="55" t="s">
        <v>355</v>
      </c>
      <c r="S2" s="55" t="s">
        <v>62</v>
      </c>
      <c r="T2" s="55" t="s">
        <v>63</v>
      </c>
    </row>
    <row r="3" spans="1:20" ht="15.75" customHeight="1" x14ac:dyDescent="0.3">
      <c r="A3" s="36">
        <v>1</v>
      </c>
      <c r="B3" s="37" t="str">
        <f>RIGHT(tbl_SeqLib[[#This Row],[Well]],LEN(tbl_SeqLib[[#This Row],[Well]])-1)</f>
        <v>1</v>
      </c>
      <c r="C3" s="37" t="s">
        <v>64</v>
      </c>
      <c r="D3" s="38"/>
      <c r="E3" s="38"/>
      <c r="F3" s="38"/>
      <c r="G3" s="77"/>
      <c r="H3" s="39" t="s">
        <v>65</v>
      </c>
      <c r="I3" s="123">
        <f>IF(LEN(tbl_SeqLib[[#This Row],[PCR '[DNA'] (ng / µl)]])&gt;0,1,0)</f>
        <v>0</v>
      </c>
      <c r="J3" s="123">
        <f>IF(LEN(tbl_SeqLib[[#This Row],[Sample ID]])&gt;0,1,0)</f>
        <v>0</v>
      </c>
      <c r="K3" s="123">
        <f>IF(SUMIF(tbl_SeqLib[Column],tbl_SeqLib[[#This Row],[Column]],tbl_SeqLib[DNA conc present])&gt;0,1,0)</f>
        <v>0</v>
      </c>
      <c r="L3" s="123">
        <f>IF(SUM(tbl_SeqLib[[#This Row],[DNA conc present]:[Sample ID present]])&gt;0,1,0)</f>
        <v>0</v>
      </c>
      <c r="M3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" s="126">
        <f>ROUNDDOWN(_xlfn.MAXIFS(tbl_SeqLib[Exact],tbl_SeqLib[Column],tbl_SeqLib[[#This Row],[Column]]),1)</f>
        <v>0</v>
      </c>
      <c r="O3" s="126" t="e">
        <f>AVERAGE(tbl_SeqLib[Exact])</f>
        <v>#DIV/0!</v>
      </c>
      <c r="P3" s="126">
        <f>MAX(tbl_SeqLib[Exact])</f>
        <v>0</v>
      </c>
      <c r="Q3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" s="66"/>
      <c r="S3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" s="41" t="str">
        <f>IF(ISBLANK(#REF!),"",CONCATENATE(exp_id,"_",tbl_SeqLib[[#This Row],[Well]]))</f>
        <v>_A1</v>
      </c>
    </row>
    <row r="4" spans="1:20" ht="15.75" customHeight="1" x14ac:dyDescent="0.3">
      <c r="A4" s="42">
        <v>2</v>
      </c>
      <c r="B4" s="32" t="str">
        <f>RIGHT(tbl_SeqLib[[#This Row],[Well]],LEN(tbl_SeqLib[[#This Row],[Well]])-1)</f>
        <v>1</v>
      </c>
      <c r="C4" s="32" t="s">
        <v>66</v>
      </c>
      <c r="D4" s="18"/>
      <c r="E4" s="18"/>
      <c r="F4" s="18"/>
      <c r="G4" s="78"/>
      <c r="H4" s="25" t="s">
        <v>67</v>
      </c>
      <c r="I4" s="124">
        <f>IF(LEN(tbl_SeqLib[[#This Row],[PCR '[DNA'] (ng / µl)]])&gt;0,1,0)</f>
        <v>0</v>
      </c>
      <c r="J4" s="124">
        <f>IF(LEN(tbl_SeqLib[[#This Row],[Sample ID]])&gt;0,1,0)</f>
        <v>0</v>
      </c>
      <c r="K4" s="124">
        <f>IF(SUMIF(tbl_SeqLib[Column],tbl_SeqLib[[#This Row],[Column]],tbl_SeqLib[DNA conc present])&gt;0,1,0)</f>
        <v>0</v>
      </c>
      <c r="L4" s="124">
        <f>IF(SUM(tbl_SeqLib[[#This Row],[DNA conc present]:[Sample ID present]])&gt;0,1,0)</f>
        <v>0</v>
      </c>
      <c r="M4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" s="127">
        <f>ROUNDDOWN(_xlfn.MAXIFS(tbl_SeqLib[Exact],tbl_SeqLib[Column],tbl_SeqLib[[#This Row],[Column]]),1)</f>
        <v>0</v>
      </c>
      <c r="O4" s="127" t="e">
        <f>AVERAGE(tbl_SeqLib[Exact])</f>
        <v>#DIV/0!</v>
      </c>
      <c r="P4" s="127">
        <f>MAX(tbl_SeqLib[Exact])</f>
        <v>0</v>
      </c>
      <c r="Q4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" s="67"/>
      <c r="S4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" s="43" t="str">
        <f>IF(ISBLANK(#REF!),"",CONCATENATE(exp_id,"_",tbl_SeqLib[[#This Row],[Well]]))</f>
        <v>_B1</v>
      </c>
    </row>
    <row r="5" spans="1:20" ht="15.75" customHeight="1" x14ac:dyDescent="0.3">
      <c r="A5" s="42">
        <v>3</v>
      </c>
      <c r="B5" s="32" t="str">
        <f>RIGHT(tbl_SeqLib[[#This Row],[Well]],LEN(tbl_SeqLib[[#This Row],[Well]])-1)</f>
        <v>1</v>
      </c>
      <c r="C5" s="32" t="s">
        <v>68</v>
      </c>
      <c r="D5" s="18"/>
      <c r="E5" s="18"/>
      <c r="F5" s="18"/>
      <c r="G5" s="78"/>
      <c r="H5" s="25" t="s">
        <v>69</v>
      </c>
      <c r="I5" s="124">
        <f>IF(LEN(tbl_SeqLib[[#This Row],[PCR '[DNA'] (ng / µl)]])&gt;0,1,0)</f>
        <v>0</v>
      </c>
      <c r="J5" s="124">
        <f>IF(LEN(tbl_SeqLib[[#This Row],[Sample ID]])&gt;0,1,0)</f>
        <v>0</v>
      </c>
      <c r="K5" s="124">
        <f>IF(SUMIF(tbl_SeqLib[Column],tbl_SeqLib[[#This Row],[Column]],tbl_SeqLib[DNA conc present])&gt;0,1,0)</f>
        <v>0</v>
      </c>
      <c r="L5" s="124">
        <f>IF(SUM(tbl_SeqLib[[#This Row],[DNA conc present]:[Sample ID present]])&gt;0,1,0)</f>
        <v>0</v>
      </c>
      <c r="M5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" s="127">
        <f>ROUNDDOWN(_xlfn.MAXIFS(tbl_SeqLib[Exact],tbl_SeqLib[Column],tbl_SeqLib[[#This Row],[Column]]),1)</f>
        <v>0</v>
      </c>
      <c r="O5" s="127" t="e">
        <f>AVERAGE(tbl_SeqLib[Exact])</f>
        <v>#DIV/0!</v>
      </c>
      <c r="P5" s="127">
        <f>MAX(tbl_SeqLib[Exact])</f>
        <v>0</v>
      </c>
      <c r="Q5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" s="67"/>
      <c r="S5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" s="43" t="str">
        <f>IF(ISBLANK(#REF!),"",CONCATENATE(exp_id,"_",tbl_SeqLib[[#This Row],[Well]]))</f>
        <v>_C1</v>
      </c>
    </row>
    <row r="6" spans="1:20" ht="15.75" customHeight="1" x14ac:dyDescent="0.3">
      <c r="A6" s="42">
        <v>4</v>
      </c>
      <c r="B6" s="32" t="str">
        <f>RIGHT(tbl_SeqLib[[#This Row],[Well]],LEN(tbl_SeqLib[[#This Row],[Well]])-1)</f>
        <v>1</v>
      </c>
      <c r="C6" s="32" t="s">
        <v>70</v>
      </c>
      <c r="D6" s="18"/>
      <c r="E6" s="18"/>
      <c r="F6" s="18"/>
      <c r="G6" s="78"/>
      <c r="H6" s="25" t="s">
        <v>71</v>
      </c>
      <c r="I6" s="124">
        <f>IF(LEN(tbl_SeqLib[[#This Row],[PCR '[DNA'] (ng / µl)]])&gt;0,1,0)</f>
        <v>0</v>
      </c>
      <c r="J6" s="124">
        <f>IF(LEN(tbl_SeqLib[[#This Row],[Sample ID]])&gt;0,1,0)</f>
        <v>0</v>
      </c>
      <c r="K6" s="124">
        <f>IF(SUMIF(tbl_SeqLib[Column],tbl_SeqLib[[#This Row],[Column]],tbl_SeqLib[DNA conc present])&gt;0,1,0)</f>
        <v>0</v>
      </c>
      <c r="L6" s="124">
        <f>IF(SUM(tbl_SeqLib[[#This Row],[DNA conc present]:[Sample ID present]])&gt;0,1,0)</f>
        <v>0</v>
      </c>
      <c r="M6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" s="127">
        <f>ROUNDDOWN(_xlfn.MAXIFS(tbl_SeqLib[Exact],tbl_SeqLib[Column],tbl_SeqLib[[#This Row],[Column]]),1)</f>
        <v>0</v>
      </c>
      <c r="O6" s="127" t="e">
        <f>AVERAGE(tbl_SeqLib[Exact])</f>
        <v>#DIV/0!</v>
      </c>
      <c r="P6" s="127">
        <f>MAX(tbl_SeqLib[Exact])</f>
        <v>0</v>
      </c>
      <c r="Q6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" s="67"/>
      <c r="S6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" s="43" t="str">
        <f>IF(ISBLANK(#REF!),"",CONCATENATE(exp_id,"_",tbl_SeqLib[[#This Row],[Well]]))</f>
        <v>_D1</v>
      </c>
    </row>
    <row r="7" spans="1:20" ht="15.75" customHeight="1" x14ac:dyDescent="0.3">
      <c r="A7" s="42">
        <v>5</v>
      </c>
      <c r="B7" s="32" t="str">
        <f>RIGHT(tbl_SeqLib[[#This Row],[Well]],LEN(tbl_SeqLib[[#This Row],[Well]])-1)</f>
        <v>1</v>
      </c>
      <c r="C7" s="32" t="s">
        <v>72</v>
      </c>
      <c r="D7" s="18"/>
      <c r="E7" s="18"/>
      <c r="F7" s="18"/>
      <c r="G7" s="78"/>
      <c r="H7" s="25" t="s">
        <v>73</v>
      </c>
      <c r="I7" s="124">
        <f>IF(LEN(tbl_SeqLib[[#This Row],[PCR '[DNA'] (ng / µl)]])&gt;0,1,0)</f>
        <v>0</v>
      </c>
      <c r="J7" s="124">
        <f>IF(LEN(tbl_SeqLib[[#This Row],[Sample ID]])&gt;0,1,0)</f>
        <v>0</v>
      </c>
      <c r="K7" s="124">
        <f>IF(SUMIF(tbl_SeqLib[Column],tbl_SeqLib[[#This Row],[Column]],tbl_SeqLib[DNA conc present])&gt;0,1,0)</f>
        <v>0</v>
      </c>
      <c r="L7" s="124">
        <f>IF(SUM(tbl_SeqLib[[#This Row],[DNA conc present]:[Sample ID present]])&gt;0,1,0)</f>
        <v>0</v>
      </c>
      <c r="M7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" s="127">
        <f>ROUNDDOWN(_xlfn.MAXIFS(tbl_SeqLib[Exact],tbl_SeqLib[Column],tbl_SeqLib[[#This Row],[Column]]),1)</f>
        <v>0</v>
      </c>
      <c r="O7" s="127" t="e">
        <f>AVERAGE(tbl_SeqLib[Exact])</f>
        <v>#DIV/0!</v>
      </c>
      <c r="P7" s="127">
        <f>MAX(tbl_SeqLib[Exact])</f>
        <v>0</v>
      </c>
      <c r="Q7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" s="67"/>
      <c r="S7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" s="43" t="str">
        <f>IF(ISBLANK(#REF!),"",CONCATENATE(exp_id,"_",tbl_SeqLib[[#This Row],[Well]]))</f>
        <v>_E1</v>
      </c>
    </row>
    <row r="8" spans="1:20" ht="15.75" customHeight="1" x14ac:dyDescent="0.3">
      <c r="A8" s="42">
        <v>6</v>
      </c>
      <c r="B8" s="32" t="str">
        <f>RIGHT(tbl_SeqLib[[#This Row],[Well]],LEN(tbl_SeqLib[[#This Row],[Well]])-1)</f>
        <v>1</v>
      </c>
      <c r="C8" s="32" t="s">
        <v>74</v>
      </c>
      <c r="D8" s="18"/>
      <c r="E8" s="18"/>
      <c r="F8" s="18"/>
      <c r="G8" s="78"/>
      <c r="H8" s="25" t="s">
        <v>75</v>
      </c>
      <c r="I8" s="124">
        <f>IF(LEN(tbl_SeqLib[[#This Row],[PCR '[DNA'] (ng / µl)]])&gt;0,1,0)</f>
        <v>0</v>
      </c>
      <c r="J8" s="124">
        <f>IF(LEN(tbl_SeqLib[[#This Row],[Sample ID]])&gt;0,1,0)</f>
        <v>0</v>
      </c>
      <c r="K8" s="124">
        <f>IF(SUMIF(tbl_SeqLib[Column],tbl_SeqLib[[#This Row],[Column]],tbl_SeqLib[DNA conc present])&gt;0,1,0)</f>
        <v>0</v>
      </c>
      <c r="L8" s="124">
        <f>IF(SUM(tbl_SeqLib[[#This Row],[DNA conc present]:[Sample ID present]])&gt;0,1,0)</f>
        <v>0</v>
      </c>
      <c r="M8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" s="127">
        <f>ROUNDDOWN(_xlfn.MAXIFS(tbl_SeqLib[Exact],tbl_SeqLib[Column],tbl_SeqLib[[#This Row],[Column]]),1)</f>
        <v>0</v>
      </c>
      <c r="O8" s="127" t="e">
        <f>AVERAGE(tbl_SeqLib[Exact])</f>
        <v>#DIV/0!</v>
      </c>
      <c r="P8" s="127">
        <f>MAX(tbl_SeqLib[Exact])</f>
        <v>0</v>
      </c>
      <c r="Q8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" s="67"/>
      <c r="S8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" s="43" t="str">
        <f>IF(ISBLANK(#REF!),"",CONCATENATE(exp_id,"_",tbl_SeqLib[[#This Row],[Well]]))</f>
        <v>_F1</v>
      </c>
    </row>
    <row r="9" spans="1:20" ht="15.75" customHeight="1" x14ac:dyDescent="0.3">
      <c r="A9" s="42">
        <v>7</v>
      </c>
      <c r="B9" s="32" t="str">
        <f>RIGHT(tbl_SeqLib[[#This Row],[Well]],LEN(tbl_SeqLib[[#This Row],[Well]])-1)</f>
        <v>1</v>
      </c>
      <c r="C9" s="32" t="s">
        <v>76</v>
      </c>
      <c r="D9" s="18"/>
      <c r="E9" s="18"/>
      <c r="F9" s="18"/>
      <c r="G9" s="78"/>
      <c r="H9" s="25" t="s">
        <v>77</v>
      </c>
      <c r="I9" s="124">
        <f>IF(LEN(tbl_SeqLib[[#This Row],[PCR '[DNA'] (ng / µl)]])&gt;0,1,0)</f>
        <v>0</v>
      </c>
      <c r="J9" s="124">
        <f>IF(LEN(tbl_SeqLib[[#This Row],[Sample ID]])&gt;0,1,0)</f>
        <v>0</v>
      </c>
      <c r="K9" s="124">
        <f>IF(SUMIF(tbl_SeqLib[Column],tbl_SeqLib[[#This Row],[Column]],tbl_SeqLib[DNA conc present])&gt;0,1,0)</f>
        <v>0</v>
      </c>
      <c r="L9" s="124">
        <f>IF(SUM(tbl_SeqLib[[#This Row],[DNA conc present]:[Sample ID present]])&gt;0,1,0)</f>
        <v>0</v>
      </c>
      <c r="M9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" s="127">
        <f>ROUNDDOWN(_xlfn.MAXIFS(tbl_SeqLib[Exact],tbl_SeqLib[Column],tbl_SeqLib[[#This Row],[Column]]),1)</f>
        <v>0</v>
      </c>
      <c r="O9" s="127" t="e">
        <f>AVERAGE(tbl_SeqLib[Exact])</f>
        <v>#DIV/0!</v>
      </c>
      <c r="P9" s="127">
        <f>MAX(tbl_SeqLib[Exact])</f>
        <v>0</v>
      </c>
      <c r="Q9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" s="67"/>
      <c r="S9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" s="43" t="str">
        <f>IF(ISBLANK(#REF!),"",CONCATENATE(exp_id,"_",tbl_SeqLib[[#This Row],[Well]]))</f>
        <v>_G1</v>
      </c>
    </row>
    <row r="10" spans="1:20" ht="15.75" customHeight="1" thickBot="1" x14ac:dyDescent="0.35">
      <c r="A10" s="44">
        <v>8</v>
      </c>
      <c r="B10" s="45" t="str">
        <f>RIGHT(tbl_SeqLib[[#This Row],[Well]],LEN(tbl_SeqLib[[#This Row],[Well]])-1)</f>
        <v>1</v>
      </c>
      <c r="C10" s="45" t="s">
        <v>78</v>
      </c>
      <c r="D10" s="46"/>
      <c r="E10" s="47"/>
      <c r="F10" s="46"/>
      <c r="G10" s="79"/>
      <c r="H10" s="48" t="s">
        <v>79</v>
      </c>
      <c r="I10" s="125">
        <f>IF(LEN(tbl_SeqLib[[#This Row],[PCR '[DNA'] (ng / µl)]])&gt;0,1,0)</f>
        <v>0</v>
      </c>
      <c r="J10" s="125">
        <f>IF(LEN(tbl_SeqLib[[#This Row],[Sample ID]])&gt;0,1,0)</f>
        <v>0</v>
      </c>
      <c r="K10" s="125">
        <f>IF(SUMIF(tbl_SeqLib[Column],tbl_SeqLib[[#This Row],[Column]],tbl_SeqLib[DNA conc present])&gt;0,1,0)</f>
        <v>0</v>
      </c>
      <c r="L10" s="125">
        <f>IF(SUM(tbl_SeqLib[[#This Row],[DNA conc present]:[Sample ID present]])&gt;0,1,0)</f>
        <v>0</v>
      </c>
      <c r="M10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0" s="128">
        <f>ROUNDDOWN(_xlfn.MAXIFS(tbl_SeqLib[Exact],tbl_SeqLib[Column],tbl_SeqLib[[#This Row],[Column]]),1)</f>
        <v>0</v>
      </c>
      <c r="O10" s="128" t="e">
        <f>AVERAGE(tbl_SeqLib[Exact])</f>
        <v>#DIV/0!</v>
      </c>
      <c r="P10" s="128">
        <f>MAX(tbl_SeqLib[Exact])</f>
        <v>0</v>
      </c>
      <c r="Q10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0" s="68"/>
      <c r="S10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0" s="50" t="str">
        <f>IF(ISBLANK(#REF!),"",CONCATENATE(exp_id,"_",tbl_SeqLib[[#This Row],[Well]]))</f>
        <v>_H1</v>
      </c>
    </row>
    <row r="11" spans="1:20" ht="15.75" customHeight="1" x14ac:dyDescent="0.3">
      <c r="A11" s="36">
        <v>9</v>
      </c>
      <c r="B11" s="37" t="str">
        <f>RIGHT(tbl_SeqLib[[#This Row],[Well]],LEN(tbl_SeqLib[[#This Row],[Well]])-1)</f>
        <v>2</v>
      </c>
      <c r="C11" s="37" t="s">
        <v>80</v>
      </c>
      <c r="D11" s="38"/>
      <c r="E11" s="39"/>
      <c r="F11" s="38"/>
      <c r="G11" s="77"/>
      <c r="H11" s="39" t="s">
        <v>81</v>
      </c>
      <c r="I11" s="123">
        <f>IF(LEN(tbl_SeqLib[[#This Row],[PCR '[DNA'] (ng / µl)]])&gt;0,1,0)</f>
        <v>0</v>
      </c>
      <c r="J11" s="123">
        <f>IF(LEN(tbl_SeqLib[[#This Row],[Sample ID]])&gt;0,1,0)</f>
        <v>0</v>
      </c>
      <c r="K11" s="123">
        <f>IF(SUMIF(tbl_SeqLib[Column],tbl_SeqLib[[#This Row],[Column]],tbl_SeqLib[DNA conc present])&gt;0,1,0)</f>
        <v>0</v>
      </c>
      <c r="L11" s="123">
        <f>IF(SUM(tbl_SeqLib[[#This Row],[DNA conc present]:[Sample ID present]])&gt;0,1,0)</f>
        <v>0</v>
      </c>
      <c r="M11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1" s="126">
        <f>ROUNDDOWN(_xlfn.MAXIFS(tbl_SeqLib[Exact],tbl_SeqLib[Column],tbl_SeqLib[[#This Row],[Column]]),1)</f>
        <v>0</v>
      </c>
      <c r="O11" s="126" t="e">
        <f>AVERAGE(tbl_SeqLib[Exact])</f>
        <v>#DIV/0!</v>
      </c>
      <c r="P11" s="126">
        <f>MAX(tbl_SeqLib[Exact])</f>
        <v>0</v>
      </c>
      <c r="Q11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1" s="66"/>
      <c r="S11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1" s="41" t="str">
        <f>IF(ISBLANK(#REF!),"",CONCATENATE(exp_id,"_",tbl_SeqLib[[#This Row],[Well]]))</f>
        <v>_A2</v>
      </c>
    </row>
    <row r="12" spans="1:20" ht="15.75" customHeight="1" x14ac:dyDescent="0.3">
      <c r="A12" s="42">
        <v>10</v>
      </c>
      <c r="B12" s="32" t="str">
        <f>RIGHT(tbl_SeqLib[[#This Row],[Well]],LEN(tbl_SeqLib[[#This Row],[Well]])-1)</f>
        <v>2</v>
      </c>
      <c r="C12" s="32" t="s">
        <v>82</v>
      </c>
      <c r="D12" s="18"/>
      <c r="E12" s="19"/>
      <c r="F12" s="18"/>
      <c r="G12" s="78"/>
      <c r="H12" s="25" t="s">
        <v>83</v>
      </c>
      <c r="I12" s="124">
        <f>IF(LEN(tbl_SeqLib[[#This Row],[PCR '[DNA'] (ng / µl)]])&gt;0,1,0)</f>
        <v>0</v>
      </c>
      <c r="J12" s="124">
        <f>IF(LEN(tbl_SeqLib[[#This Row],[Sample ID]])&gt;0,1,0)</f>
        <v>0</v>
      </c>
      <c r="K12" s="124">
        <f>IF(SUMIF(tbl_SeqLib[Column],tbl_SeqLib[[#This Row],[Column]],tbl_SeqLib[DNA conc present])&gt;0,1,0)</f>
        <v>0</v>
      </c>
      <c r="L12" s="124">
        <f>IF(SUM(tbl_SeqLib[[#This Row],[DNA conc present]:[Sample ID present]])&gt;0,1,0)</f>
        <v>0</v>
      </c>
      <c r="M12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2" s="127">
        <f>ROUNDDOWN(_xlfn.MAXIFS(tbl_SeqLib[Exact],tbl_SeqLib[Column],tbl_SeqLib[[#This Row],[Column]]),1)</f>
        <v>0</v>
      </c>
      <c r="O12" s="127" t="e">
        <f>AVERAGE(tbl_SeqLib[Exact])</f>
        <v>#DIV/0!</v>
      </c>
      <c r="P12" s="127">
        <f>MAX(tbl_SeqLib[Exact])</f>
        <v>0</v>
      </c>
      <c r="Q12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2" s="67"/>
      <c r="S12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2" s="43" t="str">
        <f>IF(ISBLANK(#REF!),"",CONCATENATE(exp_id,"_",tbl_SeqLib[[#This Row],[Well]]))</f>
        <v>_B2</v>
      </c>
    </row>
    <row r="13" spans="1:20" ht="15.75" customHeight="1" x14ac:dyDescent="0.3">
      <c r="A13" s="42">
        <v>11</v>
      </c>
      <c r="B13" s="32" t="str">
        <f>RIGHT(tbl_SeqLib[[#This Row],[Well]],LEN(tbl_SeqLib[[#This Row],[Well]])-1)</f>
        <v>2</v>
      </c>
      <c r="C13" s="32" t="s">
        <v>84</v>
      </c>
      <c r="D13" s="18"/>
      <c r="E13" s="19"/>
      <c r="F13" s="18"/>
      <c r="G13" s="78"/>
      <c r="H13" s="25" t="s">
        <v>85</v>
      </c>
      <c r="I13" s="124">
        <f>IF(LEN(tbl_SeqLib[[#This Row],[PCR '[DNA'] (ng / µl)]])&gt;0,1,0)</f>
        <v>0</v>
      </c>
      <c r="J13" s="124">
        <f>IF(LEN(tbl_SeqLib[[#This Row],[Sample ID]])&gt;0,1,0)</f>
        <v>0</v>
      </c>
      <c r="K13" s="124">
        <f>IF(SUMIF(tbl_SeqLib[Column],tbl_SeqLib[[#This Row],[Column]],tbl_SeqLib[DNA conc present])&gt;0,1,0)</f>
        <v>0</v>
      </c>
      <c r="L13" s="124">
        <f>IF(SUM(tbl_SeqLib[[#This Row],[DNA conc present]:[Sample ID present]])&gt;0,1,0)</f>
        <v>0</v>
      </c>
      <c r="M13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3" s="127">
        <f>ROUNDDOWN(_xlfn.MAXIFS(tbl_SeqLib[Exact],tbl_SeqLib[Column],tbl_SeqLib[[#This Row],[Column]]),1)</f>
        <v>0</v>
      </c>
      <c r="O13" s="127" t="e">
        <f>AVERAGE(tbl_SeqLib[Exact])</f>
        <v>#DIV/0!</v>
      </c>
      <c r="P13" s="127">
        <f>MAX(tbl_SeqLib[Exact])</f>
        <v>0</v>
      </c>
      <c r="Q13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3" s="67"/>
      <c r="S13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3" s="43" t="str">
        <f>IF(ISBLANK(#REF!),"",CONCATENATE(exp_id,"_",tbl_SeqLib[[#This Row],[Well]]))</f>
        <v>_C2</v>
      </c>
    </row>
    <row r="14" spans="1:20" ht="15.75" customHeight="1" x14ac:dyDescent="0.3">
      <c r="A14" s="42">
        <v>12</v>
      </c>
      <c r="B14" s="32" t="str">
        <f>RIGHT(tbl_SeqLib[[#This Row],[Well]],LEN(tbl_SeqLib[[#This Row],[Well]])-1)</f>
        <v>2</v>
      </c>
      <c r="C14" s="32" t="s">
        <v>86</v>
      </c>
      <c r="D14" s="18"/>
      <c r="E14" s="19"/>
      <c r="F14" s="18"/>
      <c r="G14" s="78"/>
      <c r="H14" s="25" t="s">
        <v>87</v>
      </c>
      <c r="I14" s="124">
        <f>IF(LEN(tbl_SeqLib[[#This Row],[PCR '[DNA'] (ng / µl)]])&gt;0,1,0)</f>
        <v>0</v>
      </c>
      <c r="J14" s="124">
        <f>IF(LEN(tbl_SeqLib[[#This Row],[Sample ID]])&gt;0,1,0)</f>
        <v>0</v>
      </c>
      <c r="K14" s="124">
        <f>IF(SUMIF(tbl_SeqLib[Column],tbl_SeqLib[[#This Row],[Column]],tbl_SeqLib[DNA conc present])&gt;0,1,0)</f>
        <v>0</v>
      </c>
      <c r="L14" s="124">
        <f>IF(SUM(tbl_SeqLib[[#This Row],[DNA conc present]:[Sample ID present]])&gt;0,1,0)</f>
        <v>0</v>
      </c>
      <c r="M14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4" s="127">
        <f>ROUNDDOWN(_xlfn.MAXIFS(tbl_SeqLib[Exact],tbl_SeqLib[Column],tbl_SeqLib[[#This Row],[Column]]),1)</f>
        <v>0</v>
      </c>
      <c r="O14" s="127" t="e">
        <f>AVERAGE(tbl_SeqLib[Exact])</f>
        <v>#DIV/0!</v>
      </c>
      <c r="P14" s="127">
        <f>MAX(tbl_SeqLib[Exact])</f>
        <v>0</v>
      </c>
      <c r="Q14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4" s="67"/>
      <c r="S14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4" s="43" t="str">
        <f>IF(ISBLANK(#REF!),"",CONCATENATE(exp_id,"_",tbl_SeqLib[[#This Row],[Well]]))</f>
        <v>_D2</v>
      </c>
    </row>
    <row r="15" spans="1:20" ht="15.75" customHeight="1" x14ac:dyDescent="0.3">
      <c r="A15" s="42">
        <v>13</v>
      </c>
      <c r="B15" s="32" t="str">
        <f>RIGHT(tbl_SeqLib[[#This Row],[Well]],LEN(tbl_SeqLib[[#This Row],[Well]])-1)</f>
        <v>2</v>
      </c>
      <c r="C15" s="32" t="s">
        <v>88</v>
      </c>
      <c r="D15" s="18"/>
      <c r="E15" s="19"/>
      <c r="F15" s="18"/>
      <c r="G15" s="78"/>
      <c r="H15" s="25" t="s">
        <v>89</v>
      </c>
      <c r="I15" s="124">
        <f>IF(LEN(tbl_SeqLib[[#This Row],[PCR '[DNA'] (ng / µl)]])&gt;0,1,0)</f>
        <v>0</v>
      </c>
      <c r="J15" s="124">
        <f>IF(LEN(tbl_SeqLib[[#This Row],[Sample ID]])&gt;0,1,0)</f>
        <v>0</v>
      </c>
      <c r="K15" s="124">
        <f>IF(SUMIF(tbl_SeqLib[Column],tbl_SeqLib[[#This Row],[Column]],tbl_SeqLib[DNA conc present])&gt;0,1,0)</f>
        <v>0</v>
      </c>
      <c r="L15" s="124">
        <f>IF(SUM(tbl_SeqLib[[#This Row],[DNA conc present]:[Sample ID present]])&gt;0,1,0)</f>
        <v>0</v>
      </c>
      <c r="M15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5" s="127">
        <f>ROUNDDOWN(_xlfn.MAXIFS(tbl_SeqLib[Exact],tbl_SeqLib[Column],tbl_SeqLib[[#This Row],[Column]]),1)</f>
        <v>0</v>
      </c>
      <c r="O15" s="127" t="e">
        <f>AVERAGE(tbl_SeqLib[Exact])</f>
        <v>#DIV/0!</v>
      </c>
      <c r="P15" s="127">
        <f>MAX(tbl_SeqLib[Exact])</f>
        <v>0</v>
      </c>
      <c r="Q15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5" s="67"/>
      <c r="S15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5" s="43" t="str">
        <f>IF(ISBLANK(#REF!),"",CONCATENATE(exp_id,"_",tbl_SeqLib[[#This Row],[Well]]))</f>
        <v>_E2</v>
      </c>
    </row>
    <row r="16" spans="1:20" ht="15.75" customHeight="1" x14ac:dyDescent="0.3">
      <c r="A16" s="42">
        <v>14</v>
      </c>
      <c r="B16" s="32" t="str">
        <f>RIGHT(tbl_SeqLib[[#This Row],[Well]],LEN(tbl_SeqLib[[#This Row],[Well]])-1)</f>
        <v>2</v>
      </c>
      <c r="C16" s="32" t="s">
        <v>90</v>
      </c>
      <c r="D16" s="18"/>
      <c r="E16" s="19"/>
      <c r="F16" s="18"/>
      <c r="G16" s="78"/>
      <c r="H16" s="25" t="s">
        <v>91</v>
      </c>
      <c r="I16" s="124">
        <f>IF(LEN(tbl_SeqLib[[#This Row],[PCR '[DNA'] (ng / µl)]])&gt;0,1,0)</f>
        <v>0</v>
      </c>
      <c r="J16" s="124">
        <f>IF(LEN(tbl_SeqLib[[#This Row],[Sample ID]])&gt;0,1,0)</f>
        <v>0</v>
      </c>
      <c r="K16" s="124">
        <f>IF(SUMIF(tbl_SeqLib[Column],tbl_SeqLib[[#This Row],[Column]],tbl_SeqLib[DNA conc present])&gt;0,1,0)</f>
        <v>0</v>
      </c>
      <c r="L16" s="124">
        <f>IF(SUM(tbl_SeqLib[[#This Row],[DNA conc present]:[Sample ID present]])&gt;0,1,0)</f>
        <v>0</v>
      </c>
      <c r="M16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6" s="127">
        <f>ROUNDDOWN(_xlfn.MAXIFS(tbl_SeqLib[Exact],tbl_SeqLib[Column],tbl_SeqLib[[#This Row],[Column]]),1)</f>
        <v>0</v>
      </c>
      <c r="O16" s="127" t="e">
        <f>AVERAGE(tbl_SeqLib[Exact])</f>
        <v>#DIV/0!</v>
      </c>
      <c r="P16" s="127">
        <f>MAX(tbl_SeqLib[Exact])</f>
        <v>0</v>
      </c>
      <c r="Q16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6" s="67"/>
      <c r="S16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6" s="43" t="str">
        <f>IF(ISBLANK(#REF!),"",CONCATENATE(exp_id,"_",tbl_SeqLib[[#This Row],[Well]]))</f>
        <v>_F2</v>
      </c>
    </row>
    <row r="17" spans="1:20" ht="15.75" customHeight="1" x14ac:dyDescent="0.3">
      <c r="A17" s="42">
        <v>15</v>
      </c>
      <c r="B17" s="32" t="str">
        <f>RIGHT(tbl_SeqLib[[#This Row],[Well]],LEN(tbl_SeqLib[[#This Row],[Well]])-1)</f>
        <v>2</v>
      </c>
      <c r="C17" s="32" t="s">
        <v>92</v>
      </c>
      <c r="D17" s="18"/>
      <c r="E17" s="19"/>
      <c r="F17" s="18"/>
      <c r="G17" s="78"/>
      <c r="H17" s="25" t="s">
        <v>93</v>
      </c>
      <c r="I17" s="124">
        <f>IF(LEN(tbl_SeqLib[[#This Row],[PCR '[DNA'] (ng / µl)]])&gt;0,1,0)</f>
        <v>0</v>
      </c>
      <c r="J17" s="124">
        <f>IF(LEN(tbl_SeqLib[[#This Row],[Sample ID]])&gt;0,1,0)</f>
        <v>0</v>
      </c>
      <c r="K17" s="124">
        <f>IF(SUMIF(tbl_SeqLib[Column],tbl_SeqLib[[#This Row],[Column]],tbl_SeqLib[DNA conc present])&gt;0,1,0)</f>
        <v>0</v>
      </c>
      <c r="L17" s="124">
        <f>IF(SUM(tbl_SeqLib[[#This Row],[DNA conc present]:[Sample ID present]])&gt;0,1,0)</f>
        <v>0</v>
      </c>
      <c r="M17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7" s="127">
        <f>ROUNDDOWN(_xlfn.MAXIFS(tbl_SeqLib[Exact],tbl_SeqLib[Column],tbl_SeqLib[[#This Row],[Column]]),1)</f>
        <v>0</v>
      </c>
      <c r="O17" s="127" t="e">
        <f>AVERAGE(tbl_SeqLib[Exact])</f>
        <v>#DIV/0!</v>
      </c>
      <c r="P17" s="127">
        <f>MAX(tbl_SeqLib[Exact])</f>
        <v>0</v>
      </c>
      <c r="Q17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7" s="67"/>
      <c r="S17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7" s="43" t="str">
        <f>IF(ISBLANK(#REF!),"",CONCATENATE(exp_id,"_",tbl_SeqLib[[#This Row],[Well]]))</f>
        <v>_G2</v>
      </c>
    </row>
    <row r="18" spans="1:20" ht="15.75" customHeight="1" thickBot="1" x14ac:dyDescent="0.35">
      <c r="A18" s="44">
        <v>16</v>
      </c>
      <c r="B18" s="45" t="str">
        <f>RIGHT(tbl_SeqLib[[#This Row],[Well]],LEN(tbl_SeqLib[[#This Row],[Well]])-1)</f>
        <v>2</v>
      </c>
      <c r="C18" s="45" t="s">
        <v>94</v>
      </c>
      <c r="D18" s="46"/>
      <c r="E18" s="47"/>
      <c r="F18" s="46"/>
      <c r="G18" s="79"/>
      <c r="H18" s="48" t="s">
        <v>95</v>
      </c>
      <c r="I18" s="125">
        <f>IF(LEN(tbl_SeqLib[[#This Row],[PCR '[DNA'] (ng / µl)]])&gt;0,1,0)</f>
        <v>0</v>
      </c>
      <c r="J18" s="125">
        <f>IF(LEN(tbl_SeqLib[[#This Row],[Sample ID]])&gt;0,1,0)</f>
        <v>0</v>
      </c>
      <c r="K18" s="125">
        <f>IF(SUMIF(tbl_SeqLib[Column],tbl_SeqLib[[#This Row],[Column]],tbl_SeqLib[DNA conc present])&gt;0,1,0)</f>
        <v>0</v>
      </c>
      <c r="L18" s="125">
        <f>IF(SUM(tbl_SeqLib[[#This Row],[DNA conc present]:[Sample ID present]])&gt;0,1,0)</f>
        <v>0</v>
      </c>
      <c r="M18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8" s="128">
        <f>ROUNDDOWN(_xlfn.MAXIFS(tbl_SeqLib[Exact],tbl_SeqLib[Column],tbl_SeqLib[[#This Row],[Column]]),1)</f>
        <v>0</v>
      </c>
      <c r="O18" s="128" t="e">
        <f>AVERAGE(tbl_SeqLib[Exact])</f>
        <v>#DIV/0!</v>
      </c>
      <c r="P18" s="128">
        <f>MAX(tbl_SeqLib[Exact])</f>
        <v>0</v>
      </c>
      <c r="Q18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8" s="68"/>
      <c r="S18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8" s="50" t="str">
        <f>IF(ISBLANK(#REF!),"",CONCATENATE(exp_id,"_",tbl_SeqLib[[#This Row],[Well]]))</f>
        <v>_H2</v>
      </c>
    </row>
    <row r="19" spans="1:20" ht="15.75" customHeight="1" x14ac:dyDescent="0.3">
      <c r="A19" s="36">
        <v>17</v>
      </c>
      <c r="B19" s="37" t="str">
        <f>RIGHT(tbl_SeqLib[[#This Row],[Well]],LEN(tbl_SeqLib[[#This Row],[Well]])-1)</f>
        <v>3</v>
      </c>
      <c r="C19" s="37" t="s">
        <v>96</v>
      </c>
      <c r="D19" s="38"/>
      <c r="E19" s="39"/>
      <c r="F19" s="38"/>
      <c r="G19" s="77"/>
      <c r="H19" s="39" t="s">
        <v>97</v>
      </c>
      <c r="I19" s="123">
        <f>IF(LEN(tbl_SeqLib[[#This Row],[PCR '[DNA'] (ng / µl)]])&gt;0,1,0)</f>
        <v>0</v>
      </c>
      <c r="J19" s="123">
        <f>IF(LEN(tbl_SeqLib[[#This Row],[Sample ID]])&gt;0,1,0)</f>
        <v>0</v>
      </c>
      <c r="K19" s="123">
        <f>IF(SUMIF(tbl_SeqLib[Column],tbl_SeqLib[[#This Row],[Column]],tbl_SeqLib[DNA conc present])&gt;0,1,0)</f>
        <v>0</v>
      </c>
      <c r="L19" s="123">
        <f>IF(SUM(tbl_SeqLib[[#This Row],[DNA conc present]:[Sample ID present]])&gt;0,1,0)</f>
        <v>0</v>
      </c>
      <c r="M19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19" s="126">
        <f>ROUNDDOWN(_xlfn.MAXIFS(tbl_SeqLib[Exact],tbl_SeqLib[Column],tbl_SeqLib[[#This Row],[Column]]),1)</f>
        <v>0</v>
      </c>
      <c r="O19" s="126" t="e">
        <f>AVERAGE(tbl_SeqLib[Exact])</f>
        <v>#DIV/0!</v>
      </c>
      <c r="P19" s="126">
        <f>MAX(tbl_SeqLib[Exact])</f>
        <v>0</v>
      </c>
      <c r="Q19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19" s="66"/>
      <c r="S19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19" s="41" t="str">
        <f>IF(ISBLANK(#REF!),"",CONCATENATE(exp_id,"_",tbl_SeqLib[[#This Row],[Well]]))</f>
        <v>_A3</v>
      </c>
    </row>
    <row r="20" spans="1:20" ht="15.75" customHeight="1" x14ac:dyDescent="0.3">
      <c r="A20" s="42">
        <v>18</v>
      </c>
      <c r="B20" s="32" t="str">
        <f>RIGHT(tbl_SeqLib[[#This Row],[Well]],LEN(tbl_SeqLib[[#This Row],[Well]])-1)</f>
        <v>3</v>
      </c>
      <c r="C20" s="32" t="s">
        <v>98</v>
      </c>
      <c r="D20" s="18"/>
      <c r="E20" s="19"/>
      <c r="F20" s="18"/>
      <c r="G20" s="78"/>
      <c r="H20" s="25" t="s">
        <v>99</v>
      </c>
      <c r="I20" s="124">
        <f>IF(LEN(tbl_SeqLib[[#This Row],[PCR '[DNA'] (ng / µl)]])&gt;0,1,0)</f>
        <v>0</v>
      </c>
      <c r="J20" s="124">
        <f>IF(LEN(tbl_SeqLib[[#This Row],[Sample ID]])&gt;0,1,0)</f>
        <v>0</v>
      </c>
      <c r="K20" s="124">
        <f>IF(SUMIF(tbl_SeqLib[Column],tbl_SeqLib[[#This Row],[Column]],tbl_SeqLib[DNA conc present])&gt;0,1,0)</f>
        <v>0</v>
      </c>
      <c r="L20" s="124">
        <f>IF(SUM(tbl_SeqLib[[#This Row],[DNA conc present]:[Sample ID present]])&gt;0,1,0)</f>
        <v>0</v>
      </c>
      <c r="M20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0" s="127">
        <f>ROUNDDOWN(_xlfn.MAXIFS(tbl_SeqLib[Exact],tbl_SeqLib[Column],tbl_SeqLib[[#This Row],[Column]]),1)</f>
        <v>0</v>
      </c>
      <c r="O20" s="127" t="e">
        <f>AVERAGE(tbl_SeqLib[Exact])</f>
        <v>#DIV/0!</v>
      </c>
      <c r="P20" s="127">
        <f>MAX(tbl_SeqLib[Exact])</f>
        <v>0</v>
      </c>
      <c r="Q20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0" s="67"/>
      <c r="S20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0" s="43" t="str">
        <f>IF(ISBLANK(#REF!),"",CONCATENATE(exp_id,"_",tbl_SeqLib[[#This Row],[Well]]))</f>
        <v>_B3</v>
      </c>
    </row>
    <row r="21" spans="1:20" ht="15.75" customHeight="1" x14ac:dyDescent="0.3">
      <c r="A21" s="42">
        <v>19</v>
      </c>
      <c r="B21" s="32" t="str">
        <f>RIGHT(tbl_SeqLib[[#This Row],[Well]],LEN(tbl_SeqLib[[#This Row],[Well]])-1)</f>
        <v>3</v>
      </c>
      <c r="C21" s="32" t="s">
        <v>100</v>
      </c>
      <c r="D21" s="18"/>
      <c r="E21" s="19"/>
      <c r="F21" s="18"/>
      <c r="G21" s="78"/>
      <c r="H21" s="25" t="s">
        <v>101</v>
      </c>
      <c r="I21" s="124">
        <f>IF(LEN(tbl_SeqLib[[#This Row],[PCR '[DNA'] (ng / µl)]])&gt;0,1,0)</f>
        <v>0</v>
      </c>
      <c r="J21" s="124">
        <f>IF(LEN(tbl_SeqLib[[#This Row],[Sample ID]])&gt;0,1,0)</f>
        <v>0</v>
      </c>
      <c r="K21" s="124">
        <f>IF(SUMIF(tbl_SeqLib[Column],tbl_SeqLib[[#This Row],[Column]],tbl_SeqLib[DNA conc present])&gt;0,1,0)</f>
        <v>0</v>
      </c>
      <c r="L21" s="124">
        <f>IF(SUM(tbl_SeqLib[[#This Row],[DNA conc present]:[Sample ID present]])&gt;0,1,0)</f>
        <v>0</v>
      </c>
      <c r="M21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1" s="127">
        <f>ROUNDDOWN(_xlfn.MAXIFS(tbl_SeqLib[Exact],tbl_SeqLib[Column],tbl_SeqLib[[#This Row],[Column]]),1)</f>
        <v>0</v>
      </c>
      <c r="O21" s="127" t="e">
        <f>AVERAGE(tbl_SeqLib[Exact])</f>
        <v>#DIV/0!</v>
      </c>
      <c r="P21" s="127">
        <f>MAX(tbl_SeqLib[Exact])</f>
        <v>0</v>
      </c>
      <c r="Q21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1" s="67"/>
      <c r="S21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1" s="43" t="str">
        <f>IF(ISBLANK(#REF!),"",CONCATENATE(exp_id,"_",tbl_SeqLib[[#This Row],[Well]]))</f>
        <v>_C3</v>
      </c>
    </row>
    <row r="22" spans="1:20" ht="15.75" customHeight="1" x14ac:dyDescent="0.3">
      <c r="A22" s="42">
        <v>20</v>
      </c>
      <c r="B22" s="32" t="str">
        <f>RIGHT(tbl_SeqLib[[#This Row],[Well]],LEN(tbl_SeqLib[[#This Row],[Well]])-1)</f>
        <v>3</v>
      </c>
      <c r="C22" s="31" t="s">
        <v>102</v>
      </c>
      <c r="D22" s="18"/>
      <c r="E22" s="19"/>
      <c r="F22" s="18"/>
      <c r="G22" s="78"/>
      <c r="H22" s="25" t="s">
        <v>103</v>
      </c>
      <c r="I22" s="124">
        <f>IF(LEN(tbl_SeqLib[[#This Row],[PCR '[DNA'] (ng / µl)]])&gt;0,1,0)</f>
        <v>0</v>
      </c>
      <c r="J22" s="124">
        <f>IF(LEN(tbl_SeqLib[[#This Row],[Sample ID]])&gt;0,1,0)</f>
        <v>0</v>
      </c>
      <c r="K22" s="124">
        <f>IF(SUMIF(tbl_SeqLib[Column],tbl_SeqLib[[#This Row],[Column]],tbl_SeqLib[DNA conc present])&gt;0,1,0)</f>
        <v>0</v>
      </c>
      <c r="L22" s="124">
        <f>IF(SUM(tbl_SeqLib[[#This Row],[DNA conc present]:[Sample ID present]])&gt;0,1,0)</f>
        <v>0</v>
      </c>
      <c r="M22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2" s="127">
        <f>ROUNDDOWN(_xlfn.MAXIFS(tbl_SeqLib[Exact],tbl_SeqLib[Column],tbl_SeqLib[[#This Row],[Column]]),1)</f>
        <v>0</v>
      </c>
      <c r="O22" s="127" t="e">
        <f>AVERAGE(tbl_SeqLib[Exact])</f>
        <v>#DIV/0!</v>
      </c>
      <c r="P22" s="127">
        <f>MAX(tbl_SeqLib[Exact])</f>
        <v>0</v>
      </c>
      <c r="Q22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2" s="67"/>
      <c r="S22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2" s="43" t="str">
        <f>IF(ISBLANK(#REF!),"",CONCATENATE(exp_id,"_",tbl_SeqLib[[#This Row],[Well]]))</f>
        <v>_D3</v>
      </c>
    </row>
    <row r="23" spans="1:20" ht="15.75" customHeight="1" x14ac:dyDescent="0.3">
      <c r="A23" s="42">
        <v>21</v>
      </c>
      <c r="B23" s="32" t="str">
        <f>RIGHT(tbl_SeqLib[[#This Row],[Well]],LEN(tbl_SeqLib[[#This Row],[Well]])-1)</f>
        <v>3</v>
      </c>
      <c r="C23" s="31" t="s">
        <v>104</v>
      </c>
      <c r="D23" s="18"/>
      <c r="E23" s="19"/>
      <c r="F23" s="18"/>
      <c r="G23" s="78"/>
      <c r="H23" s="25" t="s">
        <v>105</v>
      </c>
      <c r="I23" s="124">
        <f>IF(LEN(tbl_SeqLib[[#This Row],[PCR '[DNA'] (ng / µl)]])&gt;0,1,0)</f>
        <v>0</v>
      </c>
      <c r="J23" s="124">
        <f>IF(LEN(tbl_SeqLib[[#This Row],[Sample ID]])&gt;0,1,0)</f>
        <v>0</v>
      </c>
      <c r="K23" s="124">
        <f>IF(SUMIF(tbl_SeqLib[Column],tbl_SeqLib[[#This Row],[Column]],tbl_SeqLib[DNA conc present])&gt;0,1,0)</f>
        <v>0</v>
      </c>
      <c r="L23" s="124">
        <f>IF(SUM(tbl_SeqLib[[#This Row],[DNA conc present]:[Sample ID present]])&gt;0,1,0)</f>
        <v>0</v>
      </c>
      <c r="M23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3" s="127">
        <f>ROUNDDOWN(_xlfn.MAXIFS(tbl_SeqLib[Exact],tbl_SeqLib[Column],tbl_SeqLib[[#This Row],[Column]]),1)</f>
        <v>0</v>
      </c>
      <c r="O23" s="127" t="e">
        <f>AVERAGE(tbl_SeqLib[Exact])</f>
        <v>#DIV/0!</v>
      </c>
      <c r="P23" s="127">
        <f>MAX(tbl_SeqLib[Exact])</f>
        <v>0</v>
      </c>
      <c r="Q23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3" s="67"/>
      <c r="S23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3" s="43" t="str">
        <f>IF(ISBLANK(#REF!),"",CONCATENATE(exp_id,"_",tbl_SeqLib[[#This Row],[Well]]))</f>
        <v>_E3</v>
      </c>
    </row>
    <row r="24" spans="1:20" ht="15.75" customHeight="1" x14ac:dyDescent="0.3">
      <c r="A24" s="42">
        <v>22</v>
      </c>
      <c r="B24" s="32" t="str">
        <f>RIGHT(tbl_SeqLib[[#This Row],[Well]],LEN(tbl_SeqLib[[#This Row],[Well]])-1)</f>
        <v>3</v>
      </c>
      <c r="C24" s="31" t="s">
        <v>106</v>
      </c>
      <c r="D24" s="18"/>
      <c r="E24" s="19"/>
      <c r="F24" s="18"/>
      <c r="G24" s="78"/>
      <c r="H24" s="25" t="s">
        <v>107</v>
      </c>
      <c r="I24" s="124">
        <f>IF(LEN(tbl_SeqLib[[#This Row],[PCR '[DNA'] (ng / µl)]])&gt;0,1,0)</f>
        <v>0</v>
      </c>
      <c r="J24" s="124">
        <f>IF(LEN(tbl_SeqLib[[#This Row],[Sample ID]])&gt;0,1,0)</f>
        <v>0</v>
      </c>
      <c r="K24" s="124">
        <f>IF(SUMIF(tbl_SeqLib[Column],tbl_SeqLib[[#This Row],[Column]],tbl_SeqLib[DNA conc present])&gt;0,1,0)</f>
        <v>0</v>
      </c>
      <c r="L24" s="124">
        <f>IF(SUM(tbl_SeqLib[[#This Row],[DNA conc present]:[Sample ID present]])&gt;0,1,0)</f>
        <v>0</v>
      </c>
      <c r="M24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4" s="127">
        <f>ROUNDDOWN(_xlfn.MAXIFS(tbl_SeqLib[Exact],tbl_SeqLib[Column],tbl_SeqLib[[#This Row],[Column]]),1)</f>
        <v>0</v>
      </c>
      <c r="O24" s="127" t="e">
        <f>AVERAGE(tbl_SeqLib[Exact])</f>
        <v>#DIV/0!</v>
      </c>
      <c r="P24" s="127">
        <f>MAX(tbl_SeqLib[Exact])</f>
        <v>0</v>
      </c>
      <c r="Q24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4" s="67"/>
      <c r="S24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4" s="43" t="str">
        <f>IF(ISBLANK(#REF!),"",CONCATENATE(exp_id,"_",tbl_SeqLib[[#This Row],[Well]]))</f>
        <v>_F3</v>
      </c>
    </row>
    <row r="25" spans="1:20" ht="15.75" customHeight="1" x14ac:dyDescent="0.3">
      <c r="A25" s="42">
        <v>23</v>
      </c>
      <c r="B25" s="32" t="str">
        <f>RIGHT(tbl_SeqLib[[#This Row],[Well]],LEN(tbl_SeqLib[[#This Row],[Well]])-1)</f>
        <v>3</v>
      </c>
      <c r="C25" s="31" t="s">
        <v>108</v>
      </c>
      <c r="D25" s="18"/>
      <c r="E25" s="19"/>
      <c r="F25" s="18"/>
      <c r="G25" s="78"/>
      <c r="H25" s="25" t="s">
        <v>109</v>
      </c>
      <c r="I25" s="124">
        <f>IF(LEN(tbl_SeqLib[[#This Row],[PCR '[DNA'] (ng / µl)]])&gt;0,1,0)</f>
        <v>0</v>
      </c>
      <c r="J25" s="124">
        <f>IF(LEN(tbl_SeqLib[[#This Row],[Sample ID]])&gt;0,1,0)</f>
        <v>0</v>
      </c>
      <c r="K25" s="124">
        <f>IF(SUMIF(tbl_SeqLib[Column],tbl_SeqLib[[#This Row],[Column]],tbl_SeqLib[DNA conc present])&gt;0,1,0)</f>
        <v>0</v>
      </c>
      <c r="L25" s="124">
        <f>IF(SUM(tbl_SeqLib[[#This Row],[DNA conc present]:[Sample ID present]])&gt;0,1,0)</f>
        <v>0</v>
      </c>
      <c r="M25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5" s="127">
        <f>ROUNDDOWN(_xlfn.MAXIFS(tbl_SeqLib[Exact],tbl_SeqLib[Column],tbl_SeqLib[[#This Row],[Column]]),1)</f>
        <v>0</v>
      </c>
      <c r="O25" s="127" t="e">
        <f>AVERAGE(tbl_SeqLib[Exact])</f>
        <v>#DIV/0!</v>
      </c>
      <c r="P25" s="127">
        <f>MAX(tbl_SeqLib[Exact])</f>
        <v>0</v>
      </c>
      <c r="Q25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5" s="67"/>
      <c r="S25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5" s="43" t="str">
        <f>IF(ISBLANK(#REF!),"",CONCATENATE(exp_id,"_",tbl_SeqLib[[#This Row],[Well]]))</f>
        <v>_G3</v>
      </c>
    </row>
    <row r="26" spans="1:20" ht="15.75" customHeight="1" thickBot="1" x14ac:dyDescent="0.35">
      <c r="A26" s="44">
        <v>24</v>
      </c>
      <c r="B26" s="45" t="str">
        <f>RIGHT(tbl_SeqLib[[#This Row],[Well]],LEN(tbl_SeqLib[[#This Row],[Well]])-1)</f>
        <v>3</v>
      </c>
      <c r="C26" s="51" t="s">
        <v>110</v>
      </c>
      <c r="D26" s="46"/>
      <c r="E26" s="47"/>
      <c r="F26" s="46"/>
      <c r="G26" s="79"/>
      <c r="H26" s="48" t="s">
        <v>111</v>
      </c>
      <c r="I26" s="125">
        <f>IF(LEN(tbl_SeqLib[[#This Row],[PCR '[DNA'] (ng / µl)]])&gt;0,1,0)</f>
        <v>0</v>
      </c>
      <c r="J26" s="125">
        <f>IF(LEN(tbl_SeqLib[[#This Row],[Sample ID]])&gt;0,1,0)</f>
        <v>0</v>
      </c>
      <c r="K26" s="125">
        <f>IF(SUMIF(tbl_SeqLib[Column],tbl_SeqLib[[#This Row],[Column]],tbl_SeqLib[DNA conc present])&gt;0,1,0)</f>
        <v>0</v>
      </c>
      <c r="L26" s="125">
        <f>IF(SUM(tbl_SeqLib[[#This Row],[DNA conc present]:[Sample ID present]])&gt;0,1,0)</f>
        <v>0</v>
      </c>
      <c r="M26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6" s="128">
        <f>ROUNDDOWN(_xlfn.MAXIFS(tbl_SeqLib[Exact],tbl_SeqLib[Column],tbl_SeqLib[[#This Row],[Column]]),1)</f>
        <v>0</v>
      </c>
      <c r="O26" s="128" t="e">
        <f>AVERAGE(tbl_SeqLib[Exact])</f>
        <v>#DIV/0!</v>
      </c>
      <c r="P26" s="128">
        <f>MAX(tbl_SeqLib[Exact])</f>
        <v>0</v>
      </c>
      <c r="Q26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6" s="68"/>
      <c r="S26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6" s="50" t="str">
        <f>IF(ISBLANK(#REF!),"",CONCATENATE(exp_id,"_",tbl_SeqLib[[#This Row],[Well]]))</f>
        <v>_H3</v>
      </c>
    </row>
    <row r="27" spans="1:20" ht="15.75" customHeight="1" x14ac:dyDescent="0.3">
      <c r="A27" s="36">
        <v>25</v>
      </c>
      <c r="B27" s="37" t="str">
        <f>RIGHT(tbl_SeqLib[[#This Row],[Well]],LEN(tbl_SeqLib[[#This Row],[Well]])-1)</f>
        <v>4</v>
      </c>
      <c r="C27" s="37" t="s">
        <v>112</v>
      </c>
      <c r="D27" s="38"/>
      <c r="E27" s="39"/>
      <c r="F27" s="38"/>
      <c r="G27" s="77"/>
      <c r="H27" s="39" t="s">
        <v>113</v>
      </c>
      <c r="I27" s="123">
        <f>IF(LEN(tbl_SeqLib[[#This Row],[PCR '[DNA'] (ng / µl)]])&gt;0,1,0)</f>
        <v>0</v>
      </c>
      <c r="J27" s="123">
        <f>IF(LEN(tbl_SeqLib[[#This Row],[Sample ID]])&gt;0,1,0)</f>
        <v>0</v>
      </c>
      <c r="K27" s="123">
        <f>IF(SUMIF(tbl_SeqLib[Column],tbl_SeqLib[[#This Row],[Column]],tbl_SeqLib[DNA conc present])&gt;0,1,0)</f>
        <v>0</v>
      </c>
      <c r="L27" s="123">
        <f>IF(SUM(tbl_SeqLib[[#This Row],[DNA conc present]:[Sample ID present]])&gt;0,1,0)</f>
        <v>0</v>
      </c>
      <c r="M27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7" s="126">
        <f>ROUNDDOWN(_xlfn.MAXIFS(tbl_SeqLib[Exact],tbl_SeqLib[Column],tbl_SeqLib[[#This Row],[Column]]),1)</f>
        <v>0</v>
      </c>
      <c r="O27" s="126" t="e">
        <f>AVERAGE(tbl_SeqLib[Exact])</f>
        <v>#DIV/0!</v>
      </c>
      <c r="P27" s="126">
        <f>MAX(tbl_SeqLib[Exact])</f>
        <v>0</v>
      </c>
      <c r="Q27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7" s="66"/>
      <c r="S27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7" s="41" t="str">
        <f>IF(ISBLANK(#REF!),"",CONCATENATE(exp_id,"_",tbl_SeqLib[[#This Row],[Well]]))</f>
        <v>_A4</v>
      </c>
    </row>
    <row r="28" spans="1:20" ht="15.75" customHeight="1" x14ac:dyDescent="0.3">
      <c r="A28" s="42">
        <v>26</v>
      </c>
      <c r="B28" s="32" t="str">
        <f>RIGHT(tbl_SeqLib[[#This Row],[Well]],LEN(tbl_SeqLib[[#This Row],[Well]])-1)</f>
        <v>4</v>
      </c>
      <c r="C28" s="31" t="s">
        <v>114</v>
      </c>
      <c r="D28" s="18"/>
      <c r="E28" s="19"/>
      <c r="F28" s="18"/>
      <c r="G28" s="78"/>
      <c r="H28" s="25" t="s">
        <v>115</v>
      </c>
      <c r="I28" s="124">
        <f>IF(LEN(tbl_SeqLib[[#This Row],[PCR '[DNA'] (ng / µl)]])&gt;0,1,0)</f>
        <v>0</v>
      </c>
      <c r="J28" s="124">
        <f>IF(LEN(tbl_SeqLib[[#This Row],[Sample ID]])&gt;0,1,0)</f>
        <v>0</v>
      </c>
      <c r="K28" s="124">
        <f>IF(SUMIF(tbl_SeqLib[Column],tbl_SeqLib[[#This Row],[Column]],tbl_SeqLib[DNA conc present])&gt;0,1,0)</f>
        <v>0</v>
      </c>
      <c r="L28" s="124">
        <f>IF(SUM(tbl_SeqLib[[#This Row],[DNA conc present]:[Sample ID present]])&gt;0,1,0)</f>
        <v>0</v>
      </c>
      <c r="M28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8" s="127">
        <f>ROUNDDOWN(_xlfn.MAXIFS(tbl_SeqLib[Exact],tbl_SeqLib[Column],tbl_SeqLib[[#This Row],[Column]]),1)</f>
        <v>0</v>
      </c>
      <c r="O28" s="127" t="e">
        <f>AVERAGE(tbl_SeqLib[Exact])</f>
        <v>#DIV/0!</v>
      </c>
      <c r="P28" s="127">
        <f>MAX(tbl_SeqLib[Exact])</f>
        <v>0</v>
      </c>
      <c r="Q28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8" s="67"/>
      <c r="S28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8" s="43" t="str">
        <f>IF(ISBLANK(#REF!),"",CONCATENATE(exp_id,"_",tbl_SeqLib[[#This Row],[Well]]))</f>
        <v>_B4</v>
      </c>
    </row>
    <row r="29" spans="1:20" ht="15.75" customHeight="1" x14ac:dyDescent="0.3">
      <c r="A29" s="42">
        <v>27</v>
      </c>
      <c r="B29" s="32" t="str">
        <f>RIGHT(tbl_SeqLib[[#This Row],[Well]],LEN(tbl_SeqLib[[#This Row],[Well]])-1)</f>
        <v>4</v>
      </c>
      <c r="C29" s="31" t="s">
        <v>116</v>
      </c>
      <c r="D29" s="18"/>
      <c r="E29" s="19"/>
      <c r="F29" s="18"/>
      <c r="G29" s="78"/>
      <c r="H29" s="25" t="s">
        <v>117</v>
      </c>
      <c r="I29" s="124">
        <f>IF(LEN(tbl_SeqLib[[#This Row],[PCR '[DNA'] (ng / µl)]])&gt;0,1,0)</f>
        <v>0</v>
      </c>
      <c r="J29" s="124">
        <f>IF(LEN(tbl_SeqLib[[#This Row],[Sample ID]])&gt;0,1,0)</f>
        <v>0</v>
      </c>
      <c r="K29" s="124">
        <f>IF(SUMIF(tbl_SeqLib[Column],tbl_SeqLib[[#This Row],[Column]],tbl_SeqLib[DNA conc present])&gt;0,1,0)</f>
        <v>0</v>
      </c>
      <c r="L29" s="124">
        <f>IF(SUM(tbl_SeqLib[[#This Row],[DNA conc present]:[Sample ID present]])&gt;0,1,0)</f>
        <v>0</v>
      </c>
      <c r="M29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29" s="127">
        <f>ROUNDDOWN(_xlfn.MAXIFS(tbl_SeqLib[Exact],tbl_SeqLib[Column],tbl_SeqLib[[#This Row],[Column]]),1)</f>
        <v>0</v>
      </c>
      <c r="O29" s="127" t="e">
        <f>AVERAGE(tbl_SeqLib[Exact])</f>
        <v>#DIV/0!</v>
      </c>
      <c r="P29" s="127">
        <f>MAX(tbl_SeqLib[Exact])</f>
        <v>0</v>
      </c>
      <c r="Q29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29" s="67"/>
      <c r="S29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29" s="43" t="str">
        <f>IF(ISBLANK(#REF!),"",CONCATENATE(exp_id,"_",tbl_SeqLib[[#This Row],[Well]]))</f>
        <v>_C4</v>
      </c>
    </row>
    <row r="30" spans="1:20" ht="15.75" customHeight="1" x14ac:dyDescent="0.3">
      <c r="A30" s="42">
        <v>28</v>
      </c>
      <c r="B30" s="32" t="str">
        <f>RIGHT(tbl_SeqLib[[#This Row],[Well]],LEN(tbl_SeqLib[[#This Row],[Well]])-1)</f>
        <v>4</v>
      </c>
      <c r="C30" s="31" t="s">
        <v>118</v>
      </c>
      <c r="D30" s="18"/>
      <c r="E30" s="19"/>
      <c r="F30" s="18"/>
      <c r="G30" s="78"/>
      <c r="H30" s="25" t="s">
        <v>119</v>
      </c>
      <c r="I30" s="124">
        <f>IF(LEN(tbl_SeqLib[[#This Row],[PCR '[DNA'] (ng / µl)]])&gt;0,1,0)</f>
        <v>0</v>
      </c>
      <c r="J30" s="124">
        <f>IF(LEN(tbl_SeqLib[[#This Row],[Sample ID]])&gt;0,1,0)</f>
        <v>0</v>
      </c>
      <c r="K30" s="124">
        <f>IF(SUMIF(tbl_SeqLib[Column],tbl_SeqLib[[#This Row],[Column]],tbl_SeqLib[DNA conc present])&gt;0,1,0)</f>
        <v>0</v>
      </c>
      <c r="L30" s="124">
        <f>IF(SUM(tbl_SeqLib[[#This Row],[DNA conc present]:[Sample ID present]])&gt;0,1,0)</f>
        <v>0</v>
      </c>
      <c r="M30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0" s="127">
        <f>ROUNDDOWN(_xlfn.MAXIFS(tbl_SeqLib[Exact],tbl_SeqLib[Column],tbl_SeqLib[[#This Row],[Column]]),1)</f>
        <v>0</v>
      </c>
      <c r="O30" s="127" t="e">
        <f>AVERAGE(tbl_SeqLib[Exact])</f>
        <v>#DIV/0!</v>
      </c>
      <c r="P30" s="127">
        <f>MAX(tbl_SeqLib[Exact])</f>
        <v>0</v>
      </c>
      <c r="Q30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0" s="67"/>
      <c r="S30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0" s="43" t="str">
        <f>IF(ISBLANK(#REF!),"",CONCATENATE(exp_id,"_",tbl_SeqLib[[#This Row],[Well]]))</f>
        <v>_D4</v>
      </c>
    </row>
    <row r="31" spans="1:20" ht="15.75" customHeight="1" x14ac:dyDescent="0.3">
      <c r="A31" s="42">
        <v>29</v>
      </c>
      <c r="B31" s="32" t="str">
        <f>RIGHT(tbl_SeqLib[[#This Row],[Well]],LEN(tbl_SeqLib[[#This Row],[Well]])-1)</f>
        <v>4</v>
      </c>
      <c r="C31" s="31" t="s">
        <v>120</v>
      </c>
      <c r="D31" s="18"/>
      <c r="E31" s="19"/>
      <c r="F31" s="18"/>
      <c r="G31" s="78"/>
      <c r="H31" s="25" t="s">
        <v>121</v>
      </c>
      <c r="I31" s="124">
        <f>IF(LEN(tbl_SeqLib[[#This Row],[PCR '[DNA'] (ng / µl)]])&gt;0,1,0)</f>
        <v>0</v>
      </c>
      <c r="J31" s="124">
        <f>IF(LEN(tbl_SeqLib[[#This Row],[Sample ID]])&gt;0,1,0)</f>
        <v>0</v>
      </c>
      <c r="K31" s="124">
        <f>IF(SUMIF(tbl_SeqLib[Column],tbl_SeqLib[[#This Row],[Column]],tbl_SeqLib[DNA conc present])&gt;0,1,0)</f>
        <v>0</v>
      </c>
      <c r="L31" s="124">
        <f>IF(SUM(tbl_SeqLib[[#This Row],[DNA conc present]:[Sample ID present]])&gt;0,1,0)</f>
        <v>0</v>
      </c>
      <c r="M31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1" s="127">
        <f>ROUNDDOWN(_xlfn.MAXIFS(tbl_SeqLib[Exact],tbl_SeqLib[Column],tbl_SeqLib[[#This Row],[Column]]),1)</f>
        <v>0</v>
      </c>
      <c r="O31" s="127" t="e">
        <f>AVERAGE(tbl_SeqLib[Exact])</f>
        <v>#DIV/0!</v>
      </c>
      <c r="P31" s="127">
        <f>MAX(tbl_SeqLib[Exact])</f>
        <v>0</v>
      </c>
      <c r="Q31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1" s="67"/>
      <c r="S31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1" s="43" t="str">
        <f>IF(ISBLANK(#REF!),"",CONCATENATE(exp_id,"_",tbl_SeqLib[[#This Row],[Well]]))</f>
        <v>_E4</v>
      </c>
    </row>
    <row r="32" spans="1:20" ht="15.75" customHeight="1" x14ac:dyDescent="0.3">
      <c r="A32" s="42">
        <v>30</v>
      </c>
      <c r="B32" s="32" t="str">
        <f>RIGHT(tbl_SeqLib[[#This Row],[Well]],LEN(tbl_SeqLib[[#This Row],[Well]])-1)</f>
        <v>4</v>
      </c>
      <c r="C32" s="31" t="s">
        <v>122</v>
      </c>
      <c r="D32" s="18"/>
      <c r="E32" s="19"/>
      <c r="F32" s="18"/>
      <c r="G32" s="78"/>
      <c r="H32" s="25" t="s">
        <v>123</v>
      </c>
      <c r="I32" s="124">
        <f>IF(LEN(tbl_SeqLib[[#This Row],[PCR '[DNA'] (ng / µl)]])&gt;0,1,0)</f>
        <v>0</v>
      </c>
      <c r="J32" s="124">
        <f>IF(LEN(tbl_SeqLib[[#This Row],[Sample ID]])&gt;0,1,0)</f>
        <v>0</v>
      </c>
      <c r="K32" s="124">
        <f>IF(SUMIF(tbl_SeqLib[Column],tbl_SeqLib[[#This Row],[Column]],tbl_SeqLib[DNA conc present])&gt;0,1,0)</f>
        <v>0</v>
      </c>
      <c r="L32" s="124">
        <f>IF(SUM(tbl_SeqLib[[#This Row],[DNA conc present]:[Sample ID present]])&gt;0,1,0)</f>
        <v>0</v>
      </c>
      <c r="M32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2" s="127">
        <f>ROUNDDOWN(_xlfn.MAXIFS(tbl_SeqLib[Exact],tbl_SeqLib[Column],tbl_SeqLib[[#This Row],[Column]]),1)</f>
        <v>0</v>
      </c>
      <c r="O32" s="127" t="e">
        <f>AVERAGE(tbl_SeqLib[Exact])</f>
        <v>#DIV/0!</v>
      </c>
      <c r="P32" s="127">
        <f>MAX(tbl_SeqLib[Exact])</f>
        <v>0</v>
      </c>
      <c r="Q32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2" s="67"/>
      <c r="S32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2" s="43" t="str">
        <f>IF(ISBLANK(#REF!),"",CONCATENATE(exp_id,"_",tbl_SeqLib[[#This Row],[Well]]))</f>
        <v>_F4</v>
      </c>
    </row>
    <row r="33" spans="1:20" ht="15.75" customHeight="1" x14ac:dyDescent="0.3">
      <c r="A33" s="42">
        <v>31</v>
      </c>
      <c r="B33" s="32" t="str">
        <f>RIGHT(tbl_SeqLib[[#This Row],[Well]],LEN(tbl_SeqLib[[#This Row],[Well]])-1)</f>
        <v>4</v>
      </c>
      <c r="C33" s="31" t="s">
        <v>124</v>
      </c>
      <c r="D33" s="18"/>
      <c r="E33" s="19"/>
      <c r="F33" s="18"/>
      <c r="G33" s="78"/>
      <c r="H33" s="25" t="s">
        <v>125</v>
      </c>
      <c r="I33" s="124">
        <f>IF(LEN(tbl_SeqLib[[#This Row],[PCR '[DNA'] (ng / µl)]])&gt;0,1,0)</f>
        <v>0</v>
      </c>
      <c r="J33" s="124">
        <f>IF(LEN(tbl_SeqLib[[#This Row],[Sample ID]])&gt;0,1,0)</f>
        <v>0</v>
      </c>
      <c r="K33" s="124">
        <f>IF(SUMIF(tbl_SeqLib[Column],tbl_SeqLib[[#This Row],[Column]],tbl_SeqLib[DNA conc present])&gt;0,1,0)</f>
        <v>0</v>
      </c>
      <c r="L33" s="124">
        <f>IF(SUM(tbl_SeqLib[[#This Row],[DNA conc present]:[Sample ID present]])&gt;0,1,0)</f>
        <v>0</v>
      </c>
      <c r="M33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3" s="127">
        <f>ROUNDDOWN(_xlfn.MAXIFS(tbl_SeqLib[Exact],tbl_SeqLib[Column],tbl_SeqLib[[#This Row],[Column]]),1)</f>
        <v>0</v>
      </c>
      <c r="O33" s="127" t="e">
        <f>AVERAGE(tbl_SeqLib[Exact])</f>
        <v>#DIV/0!</v>
      </c>
      <c r="P33" s="127">
        <f>MAX(tbl_SeqLib[Exact])</f>
        <v>0</v>
      </c>
      <c r="Q33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3" s="67"/>
      <c r="S33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3" s="43" t="str">
        <f>IF(ISBLANK(#REF!),"",CONCATENATE(exp_id,"_",tbl_SeqLib[[#This Row],[Well]]))</f>
        <v>_G4</v>
      </c>
    </row>
    <row r="34" spans="1:20" ht="15.75" customHeight="1" thickBot="1" x14ac:dyDescent="0.35">
      <c r="A34" s="44">
        <v>32</v>
      </c>
      <c r="B34" s="45" t="str">
        <f>RIGHT(tbl_SeqLib[[#This Row],[Well]],LEN(tbl_SeqLib[[#This Row],[Well]])-1)</f>
        <v>4</v>
      </c>
      <c r="C34" s="51" t="s">
        <v>126</v>
      </c>
      <c r="D34" s="46"/>
      <c r="E34" s="47"/>
      <c r="F34" s="46"/>
      <c r="G34" s="79"/>
      <c r="H34" s="48" t="s">
        <v>127</v>
      </c>
      <c r="I34" s="125">
        <f>IF(LEN(tbl_SeqLib[[#This Row],[PCR '[DNA'] (ng / µl)]])&gt;0,1,0)</f>
        <v>0</v>
      </c>
      <c r="J34" s="125">
        <f>IF(LEN(tbl_SeqLib[[#This Row],[Sample ID]])&gt;0,1,0)</f>
        <v>0</v>
      </c>
      <c r="K34" s="125">
        <f>IF(SUMIF(tbl_SeqLib[Column],tbl_SeqLib[[#This Row],[Column]],tbl_SeqLib[DNA conc present])&gt;0,1,0)</f>
        <v>0</v>
      </c>
      <c r="L34" s="125">
        <f>IF(SUM(tbl_SeqLib[[#This Row],[DNA conc present]:[Sample ID present]])&gt;0,1,0)</f>
        <v>0</v>
      </c>
      <c r="M34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4" s="128">
        <f>ROUNDDOWN(_xlfn.MAXIFS(tbl_SeqLib[Exact],tbl_SeqLib[Column],tbl_SeqLib[[#This Row],[Column]]),1)</f>
        <v>0</v>
      </c>
      <c r="O34" s="128" t="e">
        <f>AVERAGE(tbl_SeqLib[Exact])</f>
        <v>#DIV/0!</v>
      </c>
      <c r="P34" s="128">
        <f>MAX(tbl_SeqLib[Exact])</f>
        <v>0</v>
      </c>
      <c r="Q34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4" s="68"/>
      <c r="S34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4" s="50" t="str">
        <f>IF(ISBLANK(#REF!),"",CONCATENATE(exp_id,"_",tbl_SeqLib[[#This Row],[Well]]))</f>
        <v>_H4</v>
      </c>
    </row>
    <row r="35" spans="1:20" ht="15.75" customHeight="1" x14ac:dyDescent="0.3">
      <c r="A35" s="36">
        <v>33</v>
      </c>
      <c r="B35" s="37" t="str">
        <f>RIGHT(tbl_SeqLib[[#This Row],[Well]],LEN(tbl_SeqLib[[#This Row],[Well]])-1)</f>
        <v>5</v>
      </c>
      <c r="C35" s="37" t="s">
        <v>128</v>
      </c>
      <c r="D35" s="38"/>
      <c r="E35" s="39"/>
      <c r="F35" s="38"/>
      <c r="G35" s="77"/>
      <c r="H35" s="39" t="s">
        <v>129</v>
      </c>
      <c r="I35" s="123">
        <f>IF(LEN(tbl_SeqLib[[#This Row],[PCR '[DNA'] (ng / µl)]])&gt;0,1,0)</f>
        <v>0</v>
      </c>
      <c r="J35" s="123">
        <f>IF(LEN(tbl_SeqLib[[#This Row],[Sample ID]])&gt;0,1,0)</f>
        <v>0</v>
      </c>
      <c r="K35" s="123">
        <f>IF(SUMIF(tbl_SeqLib[Column],tbl_SeqLib[[#This Row],[Column]],tbl_SeqLib[DNA conc present])&gt;0,1,0)</f>
        <v>0</v>
      </c>
      <c r="L35" s="123">
        <f>IF(SUM(tbl_SeqLib[[#This Row],[DNA conc present]:[Sample ID present]])&gt;0,1,0)</f>
        <v>0</v>
      </c>
      <c r="M35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5" s="126">
        <f>ROUNDDOWN(_xlfn.MAXIFS(tbl_SeqLib[Exact],tbl_SeqLib[Column],tbl_SeqLib[[#This Row],[Column]]),1)</f>
        <v>0</v>
      </c>
      <c r="O35" s="126" t="e">
        <f>AVERAGE(tbl_SeqLib[Exact])</f>
        <v>#DIV/0!</v>
      </c>
      <c r="P35" s="126">
        <f>MAX(tbl_SeqLib[Exact])</f>
        <v>0</v>
      </c>
      <c r="Q35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5" s="66"/>
      <c r="S35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5" s="41" t="str">
        <f>IF(ISBLANK(#REF!),"",CONCATENATE(exp_id,"_",tbl_SeqLib[[#This Row],[Well]]))</f>
        <v>_A5</v>
      </c>
    </row>
    <row r="36" spans="1:20" ht="15.75" customHeight="1" x14ac:dyDescent="0.3">
      <c r="A36" s="42">
        <v>34</v>
      </c>
      <c r="B36" s="32" t="str">
        <f>RIGHT(tbl_SeqLib[[#This Row],[Well]],LEN(tbl_SeqLib[[#This Row],[Well]])-1)</f>
        <v>5</v>
      </c>
      <c r="C36" s="31" t="s">
        <v>130</v>
      </c>
      <c r="D36" s="18"/>
      <c r="E36" s="19"/>
      <c r="F36" s="18"/>
      <c r="G36" s="78"/>
      <c r="H36" s="25" t="s">
        <v>131</v>
      </c>
      <c r="I36" s="124">
        <f>IF(LEN(tbl_SeqLib[[#This Row],[PCR '[DNA'] (ng / µl)]])&gt;0,1,0)</f>
        <v>0</v>
      </c>
      <c r="J36" s="124">
        <f>IF(LEN(tbl_SeqLib[[#This Row],[Sample ID]])&gt;0,1,0)</f>
        <v>0</v>
      </c>
      <c r="K36" s="124">
        <f>IF(SUMIF(tbl_SeqLib[Column],tbl_SeqLib[[#This Row],[Column]],tbl_SeqLib[DNA conc present])&gt;0,1,0)</f>
        <v>0</v>
      </c>
      <c r="L36" s="124">
        <f>IF(SUM(tbl_SeqLib[[#This Row],[DNA conc present]:[Sample ID present]])&gt;0,1,0)</f>
        <v>0</v>
      </c>
      <c r="M36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6" s="127">
        <f>ROUNDDOWN(_xlfn.MAXIFS(tbl_SeqLib[Exact],tbl_SeqLib[Column],tbl_SeqLib[[#This Row],[Column]]),1)</f>
        <v>0</v>
      </c>
      <c r="O36" s="127" t="e">
        <f>AVERAGE(tbl_SeqLib[Exact])</f>
        <v>#DIV/0!</v>
      </c>
      <c r="P36" s="127">
        <f>MAX(tbl_SeqLib[Exact])</f>
        <v>0</v>
      </c>
      <c r="Q36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6" s="67"/>
      <c r="S36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6" s="43" t="str">
        <f>IF(ISBLANK(#REF!),"",CONCATENATE(exp_id,"_",tbl_SeqLib[[#This Row],[Well]]))</f>
        <v>_B5</v>
      </c>
    </row>
    <row r="37" spans="1:20" ht="15.75" customHeight="1" x14ac:dyDescent="0.3">
      <c r="A37" s="42">
        <v>35</v>
      </c>
      <c r="B37" s="32" t="str">
        <f>RIGHT(tbl_SeqLib[[#This Row],[Well]],LEN(tbl_SeqLib[[#This Row],[Well]])-1)</f>
        <v>5</v>
      </c>
      <c r="C37" s="31" t="s">
        <v>132</v>
      </c>
      <c r="D37" s="18"/>
      <c r="E37" s="19"/>
      <c r="F37" s="18"/>
      <c r="G37" s="78"/>
      <c r="H37" s="25" t="s">
        <v>133</v>
      </c>
      <c r="I37" s="124">
        <f>IF(LEN(tbl_SeqLib[[#This Row],[PCR '[DNA'] (ng / µl)]])&gt;0,1,0)</f>
        <v>0</v>
      </c>
      <c r="J37" s="124">
        <f>IF(LEN(tbl_SeqLib[[#This Row],[Sample ID]])&gt;0,1,0)</f>
        <v>0</v>
      </c>
      <c r="K37" s="124">
        <f>IF(SUMIF(tbl_SeqLib[Column],tbl_SeqLib[[#This Row],[Column]],tbl_SeqLib[DNA conc present])&gt;0,1,0)</f>
        <v>0</v>
      </c>
      <c r="L37" s="124">
        <f>IF(SUM(tbl_SeqLib[[#This Row],[DNA conc present]:[Sample ID present]])&gt;0,1,0)</f>
        <v>0</v>
      </c>
      <c r="M37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7" s="127">
        <f>ROUNDDOWN(_xlfn.MAXIFS(tbl_SeqLib[Exact],tbl_SeqLib[Column],tbl_SeqLib[[#This Row],[Column]]),1)</f>
        <v>0</v>
      </c>
      <c r="O37" s="127" t="e">
        <f>AVERAGE(tbl_SeqLib[Exact])</f>
        <v>#DIV/0!</v>
      </c>
      <c r="P37" s="127">
        <f>MAX(tbl_SeqLib[Exact])</f>
        <v>0</v>
      </c>
      <c r="Q37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7" s="67"/>
      <c r="S37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7" s="43" t="str">
        <f>IF(ISBLANK(#REF!),"",CONCATENATE(exp_id,"_",tbl_SeqLib[[#This Row],[Well]]))</f>
        <v>_C5</v>
      </c>
    </row>
    <row r="38" spans="1:20" ht="15.75" customHeight="1" x14ac:dyDescent="0.3">
      <c r="A38" s="42">
        <v>36</v>
      </c>
      <c r="B38" s="32" t="str">
        <f>RIGHT(tbl_SeqLib[[#This Row],[Well]],LEN(tbl_SeqLib[[#This Row],[Well]])-1)</f>
        <v>5</v>
      </c>
      <c r="C38" s="31" t="s">
        <v>134</v>
      </c>
      <c r="D38" s="18"/>
      <c r="E38" s="19"/>
      <c r="F38" s="18"/>
      <c r="G38" s="78"/>
      <c r="H38" s="25" t="s">
        <v>135</v>
      </c>
      <c r="I38" s="124">
        <f>IF(LEN(tbl_SeqLib[[#This Row],[PCR '[DNA'] (ng / µl)]])&gt;0,1,0)</f>
        <v>0</v>
      </c>
      <c r="J38" s="124">
        <f>IF(LEN(tbl_SeqLib[[#This Row],[Sample ID]])&gt;0,1,0)</f>
        <v>0</v>
      </c>
      <c r="K38" s="124">
        <f>IF(SUMIF(tbl_SeqLib[Column],tbl_SeqLib[[#This Row],[Column]],tbl_SeqLib[DNA conc present])&gt;0,1,0)</f>
        <v>0</v>
      </c>
      <c r="L38" s="124">
        <f>IF(SUM(tbl_SeqLib[[#This Row],[DNA conc present]:[Sample ID present]])&gt;0,1,0)</f>
        <v>0</v>
      </c>
      <c r="M38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8" s="127">
        <f>ROUNDDOWN(_xlfn.MAXIFS(tbl_SeqLib[Exact],tbl_SeqLib[Column],tbl_SeqLib[[#This Row],[Column]]),1)</f>
        <v>0</v>
      </c>
      <c r="O38" s="127" t="e">
        <f>AVERAGE(tbl_SeqLib[Exact])</f>
        <v>#DIV/0!</v>
      </c>
      <c r="P38" s="127">
        <f>MAX(tbl_SeqLib[Exact])</f>
        <v>0</v>
      </c>
      <c r="Q38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8" s="67"/>
      <c r="S38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8" s="43" t="str">
        <f>IF(ISBLANK(#REF!),"",CONCATENATE(exp_id,"_",tbl_SeqLib[[#This Row],[Well]]))</f>
        <v>_D5</v>
      </c>
    </row>
    <row r="39" spans="1:20" ht="15.75" customHeight="1" x14ac:dyDescent="0.3">
      <c r="A39" s="42">
        <v>37</v>
      </c>
      <c r="B39" s="32" t="str">
        <f>RIGHT(tbl_SeqLib[[#This Row],[Well]],LEN(tbl_SeqLib[[#This Row],[Well]])-1)</f>
        <v>5</v>
      </c>
      <c r="C39" s="31" t="s">
        <v>136</v>
      </c>
      <c r="D39" s="18"/>
      <c r="E39" s="19"/>
      <c r="F39" s="18"/>
      <c r="G39" s="78"/>
      <c r="H39" s="25" t="s">
        <v>137</v>
      </c>
      <c r="I39" s="124">
        <f>IF(LEN(tbl_SeqLib[[#This Row],[PCR '[DNA'] (ng / µl)]])&gt;0,1,0)</f>
        <v>0</v>
      </c>
      <c r="J39" s="124">
        <f>IF(LEN(tbl_SeqLib[[#This Row],[Sample ID]])&gt;0,1,0)</f>
        <v>0</v>
      </c>
      <c r="K39" s="124">
        <f>IF(SUMIF(tbl_SeqLib[Column],tbl_SeqLib[[#This Row],[Column]],tbl_SeqLib[DNA conc present])&gt;0,1,0)</f>
        <v>0</v>
      </c>
      <c r="L39" s="124">
        <f>IF(SUM(tbl_SeqLib[[#This Row],[DNA conc present]:[Sample ID present]])&gt;0,1,0)</f>
        <v>0</v>
      </c>
      <c r="M39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39" s="127">
        <f>ROUNDDOWN(_xlfn.MAXIFS(tbl_SeqLib[Exact],tbl_SeqLib[Column],tbl_SeqLib[[#This Row],[Column]]),1)</f>
        <v>0</v>
      </c>
      <c r="O39" s="127" t="e">
        <f>AVERAGE(tbl_SeqLib[Exact])</f>
        <v>#DIV/0!</v>
      </c>
      <c r="P39" s="127">
        <f>MAX(tbl_SeqLib[Exact])</f>
        <v>0</v>
      </c>
      <c r="Q39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39" s="67"/>
      <c r="S39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39" s="43" t="str">
        <f>IF(ISBLANK(#REF!),"",CONCATENATE(exp_id,"_",tbl_SeqLib[[#This Row],[Well]]))</f>
        <v>_E5</v>
      </c>
    </row>
    <row r="40" spans="1:20" ht="15.75" customHeight="1" x14ac:dyDescent="0.3">
      <c r="A40" s="42">
        <v>38</v>
      </c>
      <c r="B40" s="32" t="str">
        <f>RIGHT(tbl_SeqLib[[#This Row],[Well]],LEN(tbl_SeqLib[[#This Row],[Well]])-1)</f>
        <v>5</v>
      </c>
      <c r="C40" s="31" t="s">
        <v>138</v>
      </c>
      <c r="D40" s="18"/>
      <c r="E40" s="19"/>
      <c r="F40" s="18"/>
      <c r="G40" s="78"/>
      <c r="H40" s="25" t="s">
        <v>139</v>
      </c>
      <c r="I40" s="124">
        <f>IF(LEN(tbl_SeqLib[[#This Row],[PCR '[DNA'] (ng / µl)]])&gt;0,1,0)</f>
        <v>0</v>
      </c>
      <c r="J40" s="124">
        <f>IF(LEN(tbl_SeqLib[[#This Row],[Sample ID]])&gt;0,1,0)</f>
        <v>0</v>
      </c>
      <c r="K40" s="124">
        <f>IF(SUMIF(tbl_SeqLib[Column],tbl_SeqLib[[#This Row],[Column]],tbl_SeqLib[DNA conc present])&gt;0,1,0)</f>
        <v>0</v>
      </c>
      <c r="L40" s="124">
        <f>IF(SUM(tbl_SeqLib[[#This Row],[DNA conc present]:[Sample ID present]])&gt;0,1,0)</f>
        <v>0</v>
      </c>
      <c r="M40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0" s="127">
        <f>ROUNDDOWN(_xlfn.MAXIFS(tbl_SeqLib[Exact],tbl_SeqLib[Column],tbl_SeqLib[[#This Row],[Column]]),1)</f>
        <v>0</v>
      </c>
      <c r="O40" s="127" t="e">
        <f>AVERAGE(tbl_SeqLib[Exact])</f>
        <v>#DIV/0!</v>
      </c>
      <c r="P40" s="127">
        <f>MAX(tbl_SeqLib[Exact])</f>
        <v>0</v>
      </c>
      <c r="Q40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0" s="67"/>
      <c r="S40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0" s="43" t="str">
        <f>IF(ISBLANK(#REF!),"",CONCATENATE(exp_id,"_",tbl_SeqLib[[#This Row],[Well]]))</f>
        <v>_F5</v>
      </c>
    </row>
    <row r="41" spans="1:20" ht="15.75" customHeight="1" x14ac:dyDescent="0.3">
      <c r="A41" s="42">
        <v>39</v>
      </c>
      <c r="B41" s="32" t="str">
        <f>RIGHT(tbl_SeqLib[[#This Row],[Well]],LEN(tbl_SeqLib[[#This Row],[Well]])-1)</f>
        <v>5</v>
      </c>
      <c r="C41" s="31" t="s">
        <v>140</v>
      </c>
      <c r="D41" s="18"/>
      <c r="E41" s="19"/>
      <c r="F41" s="18"/>
      <c r="G41" s="78"/>
      <c r="H41" s="25" t="s">
        <v>141</v>
      </c>
      <c r="I41" s="124">
        <f>IF(LEN(tbl_SeqLib[[#This Row],[PCR '[DNA'] (ng / µl)]])&gt;0,1,0)</f>
        <v>0</v>
      </c>
      <c r="J41" s="124">
        <f>IF(LEN(tbl_SeqLib[[#This Row],[Sample ID]])&gt;0,1,0)</f>
        <v>0</v>
      </c>
      <c r="K41" s="124">
        <f>IF(SUMIF(tbl_SeqLib[Column],tbl_SeqLib[[#This Row],[Column]],tbl_SeqLib[DNA conc present])&gt;0,1,0)</f>
        <v>0</v>
      </c>
      <c r="L41" s="124">
        <f>IF(SUM(tbl_SeqLib[[#This Row],[DNA conc present]:[Sample ID present]])&gt;0,1,0)</f>
        <v>0</v>
      </c>
      <c r="M41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1" s="127">
        <f>ROUNDDOWN(_xlfn.MAXIFS(tbl_SeqLib[Exact],tbl_SeqLib[Column],tbl_SeqLib[[#This Row],[Column]]),1)</f>
        <v>0</v>
      </c>
      <c r="O41" s="127" t="e">
        <f>AVERAGE(tbl_SeqLib[Exact])</f>
        <v>#DIV/0!</v>
      </c>
      <c r="P41" s="127">
        <f>MAX(tbl_SeqLib[Exact])</f>
        <v>0</v>
      </c>
      <c r="Q41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1" s="67"/>
      <c r="S41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1" s="43" t="str">
        <f>IF(ISBLANK(#REF!),"",CONCATENATE(exp_id,"_",tbl_SeqLib[[#This Row],[Well]]))</f>
        <v>_G5</v>
      </c>
    </row>
    <row r="42" spans="1:20" ht="15.75" customHeight="1" thickBot="1" x14ac:dyDescent="0.35">
      <c r="A42" s="44">
        <v>40</v>
      </c>
      <c r="B42" s="45" t="str">
        <f>RIGHT(tbl_SeqLib[[#This Row],[Well]],LEN(tbl_SeqLib[[#This Row],[Well]])-1)</f>
        <v>5</v>
      </c>
      <c r="C42" s="51" t="s">
        <v>142</v>
      </c>
      <c r="D42" s="46"/>
      <c r="E42" s="47"/>
      <c r="F42" s="46"/>
      <c r="G42" s="79"/>
      <c r="H42" s="48" t="s">
        <v>143</v>
      </c>
      <c r="I42" s="125">
        <f>IF(LEN(tbl_SeqLib[[#This Row],[PCR '[DNA'] (ng / µl)]])&gt;0,1,0)</f>
        <v>0</v>
      </c>
      <c r="J42" s="125">
        <f>IF(LEN(tbl_SeqLib[[#This Row],[Sample ID]])&gt;0,1,0)</f>
        <v>0</v>
      </c>
      <c r="K42" s="125">
        <f>IF(SUMIF(tbl_SeqLib[Column],tbl_SeqLib[[#This Row],[Column]],tbl_SeqLib[DNA conc present])&gt;0,1,0)</f>
        <v>0</v>
      </c>
      <c r="L42" s="125">
        <f>IF(SUM(tbl_SeqLib[[#This Row],[DNA conc present]:[Sample ID present]])&gt;0,1,0)</f>
        <v>0</v>
      </c>
      <c r="M42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2" s="128">
        <f>ROUNDDOWN(_xlfn.MAXIFS(tbl_SeqLib[Exact],tbl_SeqLib[Column],tbl_SeqLib[[#This Row],[Column]]),1)</f>
        <v>0</v>
      </c>
      <c r="O42" s="128" t="e">
        <f>AVERAGE(tbl_SeqLib[Exact])</f>
        <v>#DIV/0!</v>
      </c>
      <c r="P42" s="128">
        <f>MAX(tbl_SeqLib[Exact])</f>
        <v>0</v>
      </c>
      <c r="Q42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2" s="68"/>
      <c r="S42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2" s="50" t="str">
        <f>IF(ISBLANK(#REF!),"",CONCATENATE(exp_id,"_",tbl_SeqLib[[#This Row],[Well]]))</f>
        <v>_H5</v>
      </c>
    </row>
    <row r="43" spans="1:20" ht="15.75" customHeight="1" x14ac:dyDescent="0.3">
      <c r="A43" s="36">
        <v>41</v>
      </c>
      <c r="B43" s="37" t="str">
        <f>RIGHT(tbl_SeqLib[[#This Row],[Well]],LEN(tbl_SeqLib[[#This Row],[Well]])-1)</f>
        <v>6</v>
      </c>
      <c r="C43" s="37" t="s">
        <v>144</v>
      </c>
      <c r="D43" s="38"/>
      <c r="E43" s="39"/>
      <c r="F43" s="38"/>
      <c r="G43" s="77"/>
      <c r="H43" s="39" t="s">
        <v>145</v>
      </c>
      <c r="I43" s="123">
        <f>IF(LEN(tbl_SeqLib[[#This Row],[PCR '[DNA'] (ng / µl)]])&gt;0,1,0)</f>
        <v>0</v>
      </c>
      <c r="J43" s="123">
        <f>IF(LEN(tbl_SeqLib[[#This Row],[Sample ID]])&gt;0,1,0)</f>
        <v>0</v>
      </c>
      <c r="K43" s="123">
        <f>IF(SUMIF(tbl_SeqLib[Column],tbl_SeqLib[[#This Row],[Column]],tbl_SeqLib[DNA conc present])&gt;0,1,0)</f>
        <v>0</v>
      </c>
      <c r="L43" s="123">
        <f>IF(SUM(tbl_SeqLib[[#This Row],[DNA conc present]:[Sample ID present]])&gt;0,1,0)</f>
        <v>0</v>
      </c>
      <c r="M43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3" s="126">
        <f>ROUNDDOWN(_xlfn.MAXIFS(tbl_SeqLib[Exact],tbl_SeqLib[Column],tbl_SeqLib[[#This Row],[Column]]),1)</f>
        <v>0</v>
      </c>
      <c r="O43" s="126" t="e">
        <f>AVERAGE(tbl_SeqLib[Exact])</f>
        <v>#DIV/0!</v>
      </c>
      <c r="P43" s="126">
        <f>MAX(tbl_SeqLib[Exact])</f>
        <v>0</v>
      </c>
      <c r="Q43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3" s="66"/>
      <c r="S43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3" s="41" t="str">
        <f>IF(ISBLANK(#REF!),"",CONCATENATE(exp_id,"_",tbl_SeqLib[[#This Row],[Well]]))</f>
        <v>_A6</v>
      </c>
    </row>
    <row r="44" spans="1:20" ht="15.75" customHeight="1" x14ac:dyDescent="0.3">
      <c r="A44" s="42">
        <v>42</v>
      </c>
      <c r="B44" s="32" t="str">
        <f>RIGHT(tbl_SeqLib[[#This Row],[Well]],LEN(tbl_SeqLib[[#This Row],[Well]])-1)</f>
        <v>6</v>
      </c>
      <c r="C44" s="31" t="s">
        <v>146</v>
      </c>
      <c r="D44" s="18"/>
      <c r="E44" s="19"/>
      <c r="F44" s="18"/>
      <c r="G44" s="78"/>
      <c r="H44" s="25" t="s">
        <v>147</v>
      </c>
      <c r="I44" s="124">
        <f>IF(LEN(tbl_SeqLib[[#This Row],[PCR '[DNA'] (ng / µl)]])&gt;0,1,0)</f>
        <v>0</v>
      </c>
      <c r="J44" s="124">
        <f>IF(LEN(tbl_SeqLib[[#This Row],[Sample ID]])&gt;0,1,0)</f>
        <v>0</v>
      </c>
      <c r="K44" s="124">
        <f>IF(SUMIF(tbl_SeqLib[Column],tbl_SeqLib[[#This Row],[Column]],tbl_SeqLib[DNA conc present])&gt;0,1,0)</f>
        <v>0</v>
      </c>
      <c r="L44" s="124">
        <f>IF(SUM(tbl_SeqLib[[#This Row],[DNA conc present]:[Sample ID present]])&gt;0,1,0)</f>
        <v>0</v>
      </c>
      <c r="M44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4" s="127">
        <f>ROUNDDOWN(_xlfn.MAXIFS(tbl_SeqLib[Exact],tbl_SeqLib[Column],tbl_SeqLib[[#This Row],[Column]]),1)</f>
        <v>0</v>
      </c>
      <c r="O44" s="127" t="e">
        <f>AVERAGE(tbl_SeqLib[Exact])</f>
        <v>#DIV/0!</v>
      </c>
      <c r="P44" s="127">
        <f>MAX(tbl_SeqLib[Exact])</f>
        <v>0</v>
      </c>
      <c r="Q44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4" s="67"/>
      <c r="S44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4" s="43" t="str">
        <f>IF(ISBLANK(#REF!),"",CONCATENATE(exp_id,"_",tbl_SeqLib[[#This Row],[Well]]))</f>
        <v>_B6</v>
      </c>
    </row>
    <row r="45" spans="1:20" ht="15.75" customHeight="1" x14ac:dyDescent="0.3">
      <c r="A45" s="42">
        <v>43</v>
      </c>
      <c r="B45" s="32" t="str">
        <f>RIGHT(tbl_SeqLib[[#This Row],[Well]],LEN(tbl_SeqLib[[#This Row],[Well]])-1)</f>
        <v>6</v>
      </c>
      <c r="C45" s="31" t="s">
        <v>148</v>
      </c>
      <c r="D45" s="18"/>
      <c r="E45" s="19"/>
      <c r="F45" s="18"/>
      <c r="G45" s="78"/>
      <c r="H45" s="25" t="s">
        <v>149</v>
      </c>
      <c r="I45" s="124">
        <f>IF(LEN(tbl_SeqLib[[#This Row],[PCR '[DNA'] (ng / µl)]])&gt;0,1,0)</f>
        <v>0</v>
      </c>
      <c r="J45" s="124">
        <f>IF(LEN(tbl_SeqLib[[#This Row],[Sample ID]])&gt;0,1,0)</f>
        <v>0</v>
      </c>
      <c r="K45" s="124">
        <f>IF(SUMIF(tbl_SeqLib[Column],tbl_SeqLib[[#This Row],[Column]],tbl_SeqLib[DNA conc present])&gt;0,1,0)</f>
        <v>0</v>
      </c>
      <c r="L45" s="124">
        <f>IF(SUM(tbl_SeqLib[[#This Row],[DNA conc present]:[Sample ID present]])&gt;0,1,0)</f>
        <v>0</v>
      </c>
      <c r="M45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5" s="127">
        <f>ROUNDDOWN(_xlfn.MAXIFS(tbl_SeqLib[Exact],tbl_SeqLib[Column],tbl_SeqLib[[#This Row],[Column]]),1)</f>
        <v>0</v>
      </c>
      <c r="O45" s="127" t="e">
        <f>AVERAGE(tbl_SeqLib[Exact])</f>
        <v>#DIV/0!</v>
      </c>
      <c r="P45" s="127">
        <f>MAX(tbl_SeqLib[Exact])</f>
        <v>0</v>
      </c>
      <c r="Q45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5" s="67"/>
      <c r="S45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5" s="43" t="str">
        <f>IF(ISBLANK(#REF!),"",CONCATENATE(exp_id,"_",tbl_SeqLib[[#This Row],[Well]]))</f>
        <v>_C6</v>
      </c>
    </row>
    <row r="46" spans="1:20" ht="15.75" customHeight="1" x14ac:dyDescent="0.3">
      <c r="A46" s="42">
        <v>44</v>
      </c>
      <c r="B46" s="32" t="str">
        <f>RIGHT(tbl_SeqLib[[#This Row],[Well]],LEN(tbl_SeqLib[[#This Row],[Well]])-1)</f>
        <v>6</v>
      </c>
      <c r="C46" s="31" t="s">
        <v>150</v>
      </c>
      <c r="D46" s="18"/>
      <c r="E46" s="19"/>
      <c r="F46" s="18"/>
      <c r="G46" s="78"/>
      <c r="H46" s="25" t="s">
        <v>151</v>
      </c>
      <c r="I46" s="124">
        <f>IF(LEN(tbl_SeqLib[[#This Row],[PCR '[DNA'] (ng / µl)]])&gt;0,1,0)</f>
        <v>0</v>
      </c>
      <c r="J46" s="124">
        <f>IF(LEN(tbl_SeqLib[[#This Row],[Sample ID]])&gt;0,1,0)</f>
        <v>0</v>
      </c>
      <c r="K46" s="124">
        <f>IF(SUMIF(tbl_SeqLib[Column],tbl_SeqLib[[#This Row],[Column]],tbl_SeqLib[DNA conc present])&gt;0,1,0)</f>
        <v>0</v>
      </c>
      <c r="L46" s="124">
        <f>IF(SUM(tbl_SeqLib[[#This Row],[DNA conc present]:[Sample ID present]])&gt;0,1,0)</f>
        <v>0</v>
      </c>
      <c r="M46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6" s="127">
        <f>ROUNDDOWN(_xlfn.MAXIFS(tbl_SeqLib[Exact],tbl_SeqLib[Column],tbl_SeqLib[[#This Row],[Column]]),1)</f>
        <v>0</v>
      </c>
      <c r="O46" s="127" t="e">
        <f>AVERAGE(tbl_SeqLib[Exact])</f>
        <v>#DIV/0!</v>
      </c>
      <c r="P46" s="127">
        <f>MAX(tbl_SeqLib[Exact])</f>
        <v>0</v>
      </c>
      <c r="Q46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6" s="67"/>
      <c r="S46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6" s="43" t="str">
        <f>IF(ISBLANK(#REF!),"",CONCATENATE(exp_id,"_",tbl_SeqLib[[#This Row],[Well]]))</f>
        <v>_D6</v>
      </c>
    </row>
    <row r="47" spans="1:20" ht="15.75" customHeight="1" x14ac:dyDescent="0.3">
      <c r="A47" s="42">
        <v>45</v>
      </c>
      <c r="B47" s="32" t="str">
        <f>RIGHT(tbl_SeqLib[[#This Row],[Well]],LEN(tbl_SeqLib[[#This Row],[Well]])-1)</f>
        <v>6</v>
      </c>
      <c r="C47" s="31" t="s">
        <v>152</v>
      </c>
      <c r="D47" s="18"/>
      <c r="E47" s="19"/>
      <c r="F47" s="18"/>
      <c r="G47" s="78"/>
      <c r="H47" s="25" t="s">
        <v>153</v>
      </c>
      <c r="I47" s="124">
        <f>IF(LEN(tbl_SeqLib[[#This Row],[PCR '[DNA'] (ng / µl)]])&gt;0,1,0)</f>
        <v>0</v>
      </c>
      <c r="J47" s="124">
        <f>IF(LEN(tbl_SeqLib[[#This Row],[Sample ID]])&gt;0,1,0)</f>
        <v>0</v>
      </c>
      <c r="K47" s="124">
        <f>IF(SUMIF(tbl_SeqLib[Column],tbl_SeqLib[[#This Row],[Column]],tbl_SeqLib[DNA conc present])&gt;0,1,0)</f>
        <v>0</v>
      </c>
      <c r="L47" s="124">
        <f>IF(SUM(tbl_SeqLib[[#This Row],[DNA conc present]:[Sample ID present]])&gt;0,1,0)</f>
        <v>0</v>
      </c>
      <c r="M47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7" s="127">
        <f>ROUNDDOWN(_xlfn.MAXIFS(tbl_SeqLib[Exact],tbl_SeqLib[Column],tbl_SeqLib[[#This Row],[Column]]),1)</f>
        <v>0</v>
      </c>
      <c r="O47" s="127" t="e">
        <f>AVERAGE(tbl_SeqLib[Exact])</f>
        <v>#DIV/0!</v>
      </c>
      <c r="P47" s="127">
        <f>MAX(tbl_SeqLib[Exact])</f>
        <v>0</v>
      </c>
      <c r="Q47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7" s="67"/>
      <c r="S47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7" s="43" t="str">
        <f>IF(ISBLANK(#REF!),"",CONCATENATE(exp_id,"_",tbl_SeqLib[[#This Row],[Well]]))</f>
        <v>_E6</v>
      </c>
    </row>
    <row r="48" spans="1:20" ht="15.75" customHeight="1" x14ac:dyDescent="0.3">
      <c r="A48" s="42">
        <v>46</v>
      </c>
      <c r="B48" s="32" t="str">
        <f>RIGHT(tbl_SeqLib[[#This Row],[Well]],LEN(tbl_SeqLib[[#This Row],[Well]])-1)</f>
        <v>6</v>
      </c>
      <c r="C48" s="31" t="s">
        <v>154</v>
      </c>
      <c r="D48" s="18"/>
      <c r="E48" s="19"/>
      <c r="F48" s="18"/>
      <c r="G48" s="78"/>
      <c r="H48" s="25" t="s">
        <v>155</v>
      </c>
      <c r="I48" s="124">
        <f>IF(LEN(tbl_SeqLib[[#This Row],[PCR '[DNA'] (ng / µl)]])&gt;0,1,0)</f>
        <v>0</v>
      </c>
      <c r="J48" s="124">
        <f>IF(LEN(tbl_SeqLib[[#This Row],[Sample ID]])&gt;0,1,0)</f>
        <v>0</v>
      </c>
      <c r="K48" s="124">
        <f>IF(SUMIF(tbl_SeqLib[Column],tbl_SeqLib[[#This Row],[Column]],tbl_SeqLib[DNA conc present])&gt;0,1,0)</f>
        <v>0</v>
      </c>
      <c r="L48" s="124">
        <f>IF(SUM(tbl_SeqLib[[#This Row],[DNA conc present]:[Sample ID present]])&gt;0,1,0)</f>
        <v>0</v>
      </c>
      <c r="M48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8" s="127">
        <f>ROUNDDOWN(_xlfn.MAXIFS(tbl_SeqLib[Exact],tbl_SeqLib[Column],tbl_SeqLib[[#This Row],[Column]]),1)</f>
        <v>0</v>
      </c>
      <c r="O48" s="127" t="e">
        <f>AVERAGE(tbl_SeqLib[Exact])</f>
        <v>#DIV/0!</v>
      </c>
      <c r="P48" s="127">
        <f>MAX(tbl_SeqLib[Exact])</f>
        <v>0</v>
      </c>
      <c r="Q48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8" s="67"/>
      <c r="S48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8" s="43" t="str">
        <f>IF(ISBLANK(#REF!),"",CONCATENATE(exp_id,"_",tbl_SeqLib[[#This Row],[Well]]))</f>
        <v>_F6</v>
      </c>
    </row>
    <row r="49" spans="1:20" ht="15.75" customHeight="1" x14ac:dyDescent="0.3">
      <c r="A49" s="42">
        <v>47</v>
      </c>
      <c r="B49" s="32" t="str">
        <f>RIGHT(tbl_SeqLib[[#This Row],[Well]],LEN(tbl_SeqLib[[#This Row],[Well]])-1)</f>
        <v>6</v>
      </c>
      <c r="C49" s="31" t="s">
        <v>156</v>
      </c>
      <c r="D49" s="18"/>
      <c r="E49" s="19"/>
      <c r="F49" s="18"/>
      <c r="G49" s="78"/>
      <c r="H49" s="25" t="s">
        <v>157</v>
      </c>
      <c r="I49" s="124">
        <f>IF(LEN(tbl_SeqLib[[#This Row],[PCR '[DNA'] (ng / µl)]])&gt;0,1,0)</f>
        <v>0</v>
      </c>
      <c r="J49" s="124">
        <f>IF(LEN(tbl_SeqLib[[#This Row],[Sample ID]])&gt;0,1,0)</f>
        <v>0</v>
      </c>
      <c r="K49" s="124">
        <f>IF(SUMIF(tbl_SeqLib[Column],tbl_SeqLib[[#This Row],[Column]],tbl_SeqLib[DNA conc present])&gt;0,1,0)</f>
        <v>0</v>
      </c>
      <c r="L49" s="124">
        <f>IF(SUM(tbl_SeqLib[[#This Row],[DNA conc present]:[Sample ID present]])&gt;0,1,0)</f>
        <v>0</v>
      </c>
      <c r="M49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49" s="127">
        <f>ROUNDDOWN(_xlfn.MAXIFS(tbl_SeqLib[Exact],tbl_SeqLib[Column],tbl_SeqLib[[#This Row],[Column]]),1)</f>
        <v>0</v>
      </c>
      <c r="O49" s="127" t="e">
        <f>AVERAGE(tbl_SeqLib[Exact])</f>
        <v>#DIV/0!</v>
      </c>
      <c r="P49" s="127">
        <f>MAX(tbl_SeqLib[Exact])</f>
        <v>0</v>
      </c>
      <c r="Q49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49" s="67"/>
      <c r="S49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49" s="43" t="str">
        <f>IF(ISBLANK(#REF!),"",CONCATENATE(exp_id,"_",tbl_SeqLib[[#This Row],[Well]]))</f>
        <v>_G6</v>
      </c>
    </row>
    <row r="50" spans="1:20" ht="15.75" customHeight="1" thickBot="1" x14ac:dyDescent="0.35">
      <c r="A50" s="44">
        <v>48</v>
      </c>
      <c r="B50" s="45" t="str">
        <f>RIGHT(tbl_SeqLib[[#This Row],[Well]],LEN(tbl_SeqLib[[#This Row],[Well]])-1)</f>
        <v>6</v>
      </c>
      <c r="C50" s="51" t="s">
        <v>158</v>
      </c>
      <c r="D50" s="46"/>
      <c r="E50" s="47"/>
      <c r="F50" s="46"/>
      <c r="G50" s="79"/>
      <c r="H50" s="48" t="s">
        <v>159</v>
      </c>
      <c r="I50" s="125">
        <f>IF(LEN(tbl_SeqLib[[#This Row],[PCR '[DNA'] (ng / µl)]])&gt;0,1,0)</f>
        <v>0</v>
      </c>
      <c r="J50" s="125">
        <f>IF(LEN(tbl_SeqLib[[#This Row],[Sample ID]])&gt;0,1,0)</f>
        <v>0</v>
      </c>
      <c r="K50" s="125">
        <f>IF(SUMIF(tbl_SeqLib[Column],tbl_SeqLib[[#This Row],[Column]],tbl_SeqLib[DNA conc present])&gt;0,1,0)</f>
        <v>0</v>
      </c>
      <c r="L50" s="125">
        <f>IF(SUM(tbl_SeqLib[[#This Row],[DNA conc present]:[Sample ID present]])&gt;0,1,0)</f>
        <v>0</v>
      </c>
      <c r="M50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0" s="128">
        <f>ROUNDDOWN(_xlfn.MAXIFS(tbl_SeqLib[Exact],tbl_SeqLib[Column],tbl_SeqLib[[#This Row],[Column]]),1)</f>
        <v>0</v>
      </c>
      <c r="O50" s="128" t="e">
        <f>AVERAGE(tbl_SeqLib[Exact])</f>
        <v>#DIV/0!</v>
      </c>
      <c r="P50" s="128">
        <f>MAX(tbl_SeqLib[Exact])</f>
        <v>0</v>
      </c>
      <c r="Q50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0" s="68"/>
      <c r="S50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0" s="50" t="str">
        <f>IF(ISBLANK(#REF!),"",CONCATENATE(exp_id,"_",tbl_SeqLib[[#This Row],[Well]]))</f>
        <v>_H6</v>
      </c>
    </row>
    <row r="51" spans="1:20" ht="15.75" customHeight="1" x14ac:dyDescent="0.3">
      <c r="A51" s="36">
        <v>49</v>
      </c>
      <c r="B51" s="37" t="str">
        <f>RIGHT(tbl_SeqLib[[#This Row],[Well]],LEN(tbl_SeqLib[[#This Row],[Well]])-1)</f>
        <v>7</v>
      </c>
      <c r="C51" s="37" t="s">
        <v>160</v>
      </c>
      <c r="D51" s="38"/>
      <c r="E51" s="39"/>
      <c r="F51" s="38"/>
      <c r="G51" s="77"/>
      <c r="H51" s="39" t="s">
        <v>161</v>
      </c>
      <c r="I51" s="123">
        <f>IF(LEN(tbl_SeqLib[[#This Row],[PCR '[DNA'] (ng / µl)]])&gt;0,1,0)</f>
        <v>0</v>
      </c>
      <c r="J51" s="123">
        <f>IF(LEN(tbl_SeqLib[[#This Row],[Sample ID]])&gt;0,1,0)</f>
        <v>0</v>
      </c>
      <c r="K51" s="123">
        <f>IF(SUMIF(tbl_SeqLib[Column],tbl_SeqLib[[#This Row],[Column]],tbl_SeqLib[DNA conc present])&gt;0,1,0)</f>
        <v>0</v>
      </c>
      <c r="L51" s="123">
        <f>IF(SUM(tbl_SeqLib[[#This Row],[DNA conc present]:[Sample ID present]])&gt;0,1,0)</f>
        <v>0</v>
      </c>
      <c r="M51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1" s="126">
        <f>ROUNDDOWN(_xlfn.MAXIFS(tbl_SeqLib[Exact],tbl_SeqLib[Column],tbl_SeqLib[[#This Row],[Column]]),1)</f>
        <v>0</v>
      </c>
      <c r="O51" s="126" t="e">
        <f>AVERAGE(tbl_SeqLib[Exact])</f>
        <v>#DIV/0!</v>
      </c>
      <c r="P51" s="126">
        <f>MAX(tbl_SeqLib[Exact])</f>
        <v>0</v>
      </c>
      <c r="Q51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1" s="66"/>
      <c r="S51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1" s="41" t="str">
        <f>IF(ISBLANK(#REF!),"",CONCATENATE(exp_id,"_",tbl_SeqLib[[#This Row],[Well]]))</f>
        <v>_A7</v>
      </c>
    </row>
    <row r="52" spans="1:20" ht="15.75" customHeight="1" x14ac:dyDescent="0.3">
      <c r="A52" s="42">
        <v>50</v>
      </c>
      <c r="B52" s="32" t="str">
        <f>RIGHT(tbl_SeqLib[[#This Row],[Well]],LEN(tbl_SeqLib[[#This Row],[Well]])-1)</f>
        <v>7</v>
      </c>
      <c r="C52" s="31" t="s">
        <v>162</v>
      </c>
      <c r="D52" s="18"/>
      <c r="E52" s="19"/>
      <c r="F52" s="18"/>
      <c r="G52" s="78"/>
      <c r="H52" s="25" t="s">
        <v>163</v>
      </c>
      <c r="I52" s="124">
        <f>IF(LEN(tbl_SeqLib[[#This Row],[PCR '[DNA'] (ng / µl)]])&gt;0,1,0)</f>
        <v>0</v>
      </c>
      <c r="J52" s="124">
        <f>IF(LEN(tbl_SeqLib[[#This Row],[Sample ID]])&gt;0,1,0)</f>
        <v>0</v>
      </c>
      <c r="K52" s="124">
        <f>IF(SUMIF(tbl_SeqLib[Column],tbl_SeqLib[[#This Row],[Column]],tbl_SeqLib[DNA conc present])&gt;0,1,0)</f>
        <v>0</v>
      </c>
      <c r="L52" s="124">
        <f>IF(SUM(tbl_SeqLib[[#This Row],[DNA conc present]:[Sample ID present]])&gt;0,1,0)</f>
        <v>0</v>
      </c>
      <c r="M52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2" s="127">
        <f>ROUNDDOWN(_xlfn.MAXIFS(tbl_SeqLib[Exact],tbl_SeqLib[Column],tbl_SeqLib[[#This Row],[Column]]),1)</f>
        <v>0</v>
      </c>
      <c r="O52" s="127" t="e">
        <f>AVERAGE(tbl_SeqLib[Exact])</f>
        <v>#DIV/0!</v>
      </c>
      <c r="P52" s="127">
        <f>MAX(tbl_SeqLib[Exact])</f>
        <v>0</v>
      </c>
      <c r="Q52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2" s="67"/>
      <c r="S52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2" s="43" t="str">
        <f>IF(ISBLANK(#REF!),"",CONCATENATE(exp_id,"_",tbl_SeqLib[[#This Row],[Well]]))</f>
        <v>_B7</v>
      </c>
    </row>
    <row r="53" spans="1:20" ht="15.75" customHeight="1" x14ac:dyDescent="0.3">
      <c r="A53" s="42">
        <v>51</v>
      </c>
      <c r="B53" s="32" t="str">
        <f>RIGHT(tbl_SeqLib[[#This Row],[Well]],LEN(tbl_SeqLib[[#This Row],[Well]])-1)</f>
        <v>7</v>
      </c>
      <c r="C53" s="31" t="s">
        <v>164</v>
      </c>
      <c r="D53" s="18"/>
      <c r="E53" s="19"/>
      <c r="F53" s="18"/>
      <c r="G53" s="78"/>
      <c r="H53" s="25" t="s">
        <v>165</v>
      </c>
      <c r="I53" s="124">
        <f>IF(LEN(tbl_SeqLib[[#This Row],[PCR '[DNA'] (ng / µl)]])&gt;0,1,0)</f>
        <v>0</v>
      </c>
      <c r="J53" s="124">
        <f>IF(LEN(tbl_SeqLib[[#This Row],[Sample ID]])&gt;0,1,0)</f>
        <v>0</v>
      </c>
      <c r="K53" s="124">
        <f>IF(SUMIF(tbl_SeqLib[Column],tbl_SeqLib[[#This Row],[Column]],tbl_SeqLib[DNA conc present])&gt;0,1,0)</f>
        <v>0</v>
      </c>
      <c r="L53" s="124">
        <f>IF(SUM(tbl_SeqLib[[#This Row],[DNA conc present]:[Sample ID present]])&gt;0,1,0)</f>
        <v>0</v>
      </c>
      <c r="M53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3" s="127">
        <f>ROUNDDOWN(_xlfn.MAXIFS(tbl_SeqLib[Exact],tbl_SeqLib[Column],tbl_SeqLib[[#This Row],[Column]]),1)</f>
        <v>0</v>
      </c>
      <c r="O53" s="127" t="e">
        <f>AVERAGE(tbl_SeqLib[Exact])</f>
        <v>#DIV/0!</v>
      </c>
      <c r="P53" s="127">
        <f>MAX(tbl_SeqLib[Exact])</f>
        <v>0</v>
      </c>
      <c r="Q53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3" s="67"/>
      <c r="S53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3" s="43" t="str">
        <f>IF(ISBLANK(#REF!),"",CONCATENATE(exp_id,"_",tbl_SeqLib[[#This Row],[Well]]))</f>
        <v>_C7</v>
      </c>
    </row>
    <row r="54" spans="1:20" ht="15.75" customHeight="1" x14ac:dyDescent="0.3">
      <c r="A54" s="42">
        <v>52</v>
      </c>
      <c r="B54" s="32" t="str">
        <f>RIGHT(tbl_SeqLib[[#This Row],[Well]],LEN(tbl_SeqLib[[#This Row],[Well]])-1)</f>
        <v>7</v>
      </c>
      <c r="C54" s="31" t="s">
        <v>166</v>
      </c>
      <c r="D54" s="18"/>
      <c r="E54" s="19"/>
      <c r="F54" s="18"/>
      <c r="G54" s="78"/>
      <c r="H54" s="25" t="s">
        <v>167</v>
      </c>
      <c r="I54" s="124">
        <f>IF(LEN(tbl_SeqLib[[#This Row],[PCR '[DNA'] (ng / µl)]])&gt;0,1,0)</f>
        <v>0</v>
      </c>
      <c r="J54" s="124">
        <f>IF(LEN(tbl_SeqLib[[#This Row],[Sample ID]])&gt;0,1,0)</f>
        <v>0</v>
      </c>
      <c r="K54" s="124">
        <f>IF(SUMIF(tbl_SeqLib[Column],tbl_SeqLib[[#This Row],[Column]],tbl_SeqLib[DNA conc present])&gt;0,1,0)</f>
        <v>0</v>
      </c>
      <c r="L54" s="124">
        <f>IF(SUM(tbl_SeqLib[[#This Row],[DNA conc present]:[Sample ID present]])&gt;0,1,0)</f>
        <v>0</v>
      </c>
      <c r="M54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4" s="127">
        <f>ROUNDDOWN(_xlfn.MAXIFS(tbl_SeqLib[Exact],tbl_SeqLib[Column],tbl_SeqLib[[#This Row],[Column]]),1)</f>
        <v>0</v>
      </c>
      <c r="O54" s="127" t="e">
        <f>AVERAGE(tbl_SeqLib[Exact])</f>
        <v>#DIV/0!</v>
      </c>
      <c r="P54" s="127">
        <f>MAX(tbl_SeqLib[Exact])</f>
        <v>0</v>
      </c>
      <c r="Q54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4" s="67"/>
      <c r="S54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4" s="43" t="str">
        <f>IF(ISBLANK(#REF!),"",CONCATENATE(exp_id,"_",tbl_SeqLib[[#This Row],[Well]]))</f>
        <v>_D7</v>
      </c>
    </row>
    <row r="55" spans="1:20" ht="15.75" customHeight="1" x14ac:dyDescent="0.3">
      <c r="A55" s="42">
        <v>53</v>
      </c>
      <c r="B55" s="32" t="str">
        <f>RIGHT(tbl_SeqLib[[#This Row],[Well]],LEN(tbl_SeqLib[[#This Row],[Well]])-1)</f>
        <v>7</v>
      </c>
      <c r="C55" s="31" t="s">
        <v>168</v>
      </c>
      <c r="D55" s="18"/>
      <c r="E55" s="19"/>
      <c r="F55" s="18"/>
      <c r="G55" s="78"/>
      <c r="H55" s="25" t="s">
        <v>169</v>
      </c>
      <c r="I55" s="124">
        <f>IF(LEN(tbl_SeqLib[[#This Row],[PCR '[DNA'] (ng / µl)]])&gt;0,1,0)</f>
        <v>0</v>
      </c>
      <c r="J55" s="124">
        <f>IF(LEN(tbl_SeqLib[[#This Row],[Sample ID]])&gt;0,1,0)</f>
        <v>0</v>
      </c>
      <c r="K55" s="124">
        <f>IF(SUMIF(tbl_SeqLib[Column],tbl_SeqLib[[#This Row],[Column]],tbl_SeqLib[DNA conc present])&gt;0,1,0)</f>
        <v>0</v>
      </c>
      <c r="L55" s="124">
        <f>IF(SUM(tbl_SeqLib[[#This Row],[DNA conc present]:[Sample ID present]])&gt;0,1,0)</f>
        <v>0</v>
      </c>
      <c r="M55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5" s="127">
        <f>ROUNDDOWN(_xlfn.MAXIFS(tbl_SeqLib[Exact],tbl_SeqLib[Column],tbl_SeqLib[[#This Row],[Column]]),1)</f>
        <v>0</v>
      </c>
      <c r="O55" s="127" t="e">
        <f>AVERAGE(tbl_SeqLib[Exact])</f>
        <v>#DIV/0!</v>
      </c>
      <c r="P55" s="127">
        <f>MAX(tbl_SeqLib[Exact])</f>
        <v>0</v>
      </c>
      <c r="Q55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5" s="67"/>
      <c r="S55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5" s="43" t="str">
        <f>IF(ISBLANK(#REF!),"",CONCATENATE(exp_id,"_",tbl_SeqLib[[#This Row],[Well]]))</f>
        <v>_E7</v>
      </c>
    </row>
    <row r="56" spans="1:20" ht="15.75" customHeight="1" x14ac:dyDescent="0.3">
      <c r="A56" s="42">
        <v>54</v>
      </c>
      <c r="B56" s="32" t="str">
        <f>RIGHT(tbl_SeqLib[[#This Row],[Well]],LEN(tbl_SeqLib[[#This Row],[Well]])-1)</f>
        <v>7</v>
      </c>
      <c r="C56" s="31" t="s">
        <v>170</v>
      </c>
      <c r="D56" s="18"/>
      <c r="E56" s="19"/>
      <c r="F56" s="18"/>
      <c r="G56" s="78"/>
      <c r="H56" s="25" t="s">
        <v>171</v>
      </c>
      <c r="I56" s="124">
        <f>IF(LEN(tbl_SeqLib[[#This Row],[PCR '[DNA'] (ng / µl)]])&gt;0,1,0)</f>
        <v>0</v>
      </c>
      <c r="J56" s="124">
        <f>IF(LEN(tbl_SeqLib[[#This Row],[Sample ID]])&gt;0,1,0)</f>
        <v>0</v>
      </c>
      <c r="K56" s="124">
        <f>IF(SUMIF(tbl_SeqLib[Column],tbl_SeqLib[[#This Row],[Column]],tbl_SeqLib[DNA conc present])&gt;0,1,0)</f>
        <v>0</v>
      </c>
      <c r="L56" s="124">
        <f>IF(SUM(tbl_SeqLib[[#This Row],[DNA conc present]:[Sample ID present]])&gt;0,1,0)</f>
        <v>0</v>
      </c>
      <c r="M56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6" s="127">
        <f>ROUNDDOWN(_xlfn.MAXIFS(tbl_SeqLib[Exact],tbl_SeqLib[Column],tbl_SeqLib[[#This Row],[Column]]),1)</f>
        <v>0</v>
      </c>
      <c r="O56" s="127" t="e">
        <f>AVERAGE(tbl_SeqLib[Exact])</f>
        <v>#DIV/0!</v>
      </c>
      <c r="P56" s="127">
        <f>MAX(tbl_SeqLib[Exact])</f>
        <v>0</v>
      </c>
      <c r="Q56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6" s="67"/>
      <c r="S56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6" s="43" t="str">
        <f>IF(ISBLANK(#REF!),"",CONCATENATE(exp_id,"_",tbl_SeqLib[[#This Row],[Well]]))</f>
        <v>_F7</v>
      </c>
    </row>
    <row r="57" spans="1:20" ht="15.75" customHeight="1" x14ac:dyDescent="0.3">
      <c r="A57" s="42">
        <v>55</v>
      </c>
      <c r="B57" s="32" t="str">
        <f>RIGHT(tbl_SeqLib[[#This Row],[Well]],LEN(tbl_SeqLib[[#This Row],[Well]])-1)</f>
        <v>7</v>
      </c>
      <c r="C57" s="31" t="s">
        <v>172</v>
      </c>
      <c r="D57" s="18"/>
      <c r="E57" s="19"/>
      <c r="F57" s="18"/>
      <c r="G57" s="78"/>
      <c r="H57" s="25" t="s">
        <v>173</v>
      </c>
      <c r="I57" s="124">
        <f>IF(LEN(tbl_SeqLib[[#This Row],[PCR '[DNA'] (ng / µl)]])&gt;0,1,0)</f>
        <v>0</v>
      </c>
      <c r="J57" s="124">
        <f>IF(LEN(tbl_SeqLib[[#This Row],[Sample ID]])&gt;0,1,0)</f>
        <v>0</v>
      </c>
      <c r="K57" s="124">
        <f>IF(SUMIF(tbl_SeqLib[Column],tbl_SeqLib[[#This Row],[Column]],tbl_SeqLib[DNA conc present])&gt;0,1,0)</f>
        <v>0</v>
      </c>
      <c r="L57" s="124">
        <f>IF(SUM(tbl_SeqLib[[#This Row],[DNA conc present]:[Sample ID present]])&gt;0,1,0)</f>
        <v>0</v>
      </c>
      <c r="M57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7" s="127">
        <f>ROUNDDOWN(_xlfn.MAXIFS(tbl_SeqLib[Exact],tbl_SeqLib[Column],tbl_SeqLib[[#This Row],[Column]]),1)</f>
        <v>0</v>
      </c>
      <c r="O57" s="127" t="e">
        <f>AVERAGE(tbl_SeqLib[Exact])</f>
        <v>#DIV/0!</v>
      </c>
      <c r="P57" s="127">
        <f>MAX(tbl_SeqLib[Exact])</f>
        <v>0</v>
      </c>
      <c r="Q57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7" s="67"/>
      <c r="S57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7" s="43" t="str">
        <f>IF(ISBLANK(#REF!),"",CONCATENATE(exp_id,"_",tbl_SeqLib[[#This Row],[Well]]))</f>
        <v>_G7</v>
      </c>
    </row>
    <row r="58" spans="1:20" ht="15.75" customHeight="1" thickBot="1" x14ac:dyDescent="0.35">
      <c r="A58" s="44">
        <v>56</v>
      </c>
      <c r="B58" s="45" t="str">
        <f>RIGHT(tbl_SeqLib[[#This Row],[Well]],LEN(tbl_SeqLib[[#This Row],[Well]])-1)</f>
        <v>7</v>
      </c>
      <c r="C58" s="51" t="s">
        <v>174</v>
      </c>
      <c r="D58" s="46"/>
      <c r="E58" s="47"/>
      <c r="F58" s="46"/>
      <c r="G58" s="79"/>
      <c r="H58" s="48" t="s">
        <v>175</v>
      </c>
      <c r="I58" s="125">
        <f>IF(LEN(tbl_SeqLib[[#This Row],[PCR '[DNA'] (ng / µl)]])&gt;0,1,0)</f>
        <v>0</v>
      </c>
      <c r="J58" s="125">
        <f>IF(LEN(tbl_SeqLib[[#This Row],[Sample ID]])&gt;0,1,0)</f>
        <v>0</v>
      </c>
      <c r="K58" s="125">
        <f>IF(SUMIF(tbl_SeqLib[Column],tbl_SeqLib[[#This Row],[Column]],tbl_SeqLib[DNA conc present])&gt;0,1,0)</f>
        <v>0</v>
      </c>
      <c r="L58" s="125">
        <f>IF(SUM(tbl_SeqLib[[#This Row],[DNA conc present]:[Sample ID present]])&gt;0,1,0)</f>
        <v>0</v>
      </c>
      <c r="M58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8" s="128">
        <f>ROUNDDOWN(_xlfn.MAXIFS(tbl_SeqLib[Exact],tbl_SeqLib[Column],tbl_SeqLib[[#This Row],[Column]]),1)</f>
        <v>0</v>
      </c>
      <c r="O58" s="128" t="e">
        <f>AVERAGE(tbl_SeqLib[Exact])</f>
        <v>#DIV/0!</v>
      </c>
      <c r="P58" s="128">
        <f>MAX(tbl_SeqLib[Exact])</f>
        <v>0</v>
      </c>
      <c r="Q58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8" s="68"/>
      <c r="S58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8" s="50" t="str">
        <f>IF(ISBLANK(#REF!),"",CONCATENATE(exp_id,"_",tbl_SeqLib[[#This Row],[Well]]))</f>
        <v>_H7</v>
      </c>
    </row>
    <row r="59" spans="1:20" ht="15.75" customHeight="1" x14ac:dyDescent="0.3">
      <c r="A59" s="36">
        <v>57</v>
      </c>
      <c r="B59" s="37" t="str">
        <f>RIGHT(tbl_SeqLib[[#This Row],[Well]],LEN(tbl_SeqLib[[#This Row],[Well]])-1)</f>
        <v>8</v>
      </c>
      <c r="C59" s="37" t="s">
        <v>176</v>
      </c>
      <c r="D59" s="38"/>
      <c r="E59" s="39"/>
      <c r="F59" s="38"/>
      <c r="G59" s="77"/>
      <c r="H59" s="39" t="s">
        <v>177</v>
      </c>
      <c r="I59" s="123">
        <f>IF(LEN(tbl_SeqLib[[#This Row],[PCR '[DNA'] (ng / µl)]])&gt;0,1,0)</f>
        <v>0</v>
      </c>
      <c r="J59" s="123">
        <f>IF(LEN(tbl_SeqLib[[#This Row],[Sample ID]])&gt;0,1,0)</f>
        <v>0</v>
      </c>
      <c r="K59" s="123">
        <f>IF(SUMIF(tbl_SeqLib[Column],tbl_SeqLib[[#This Row],[Column]],tbl_SeqLib[DNA conc present])&gt;0,1,0)</f>
        <v>0</v>
      </c>
      <c r="L59" s="123">
        <f>IF(SUM(tbl_SeqLib[[#This Row],[DNA conc present]:[Sample ID present]])&gt;0,1,0)</f>
        <v>0</v>
      </c>
      <c r="M59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59" s="126">
        <f>ROUNDDOWN(_xlfn.MAXIFS(tbl_SeqLib[Exact],tbl_SeqLib[Column],tbl_SeqLib[[#This Row],[Column]]),1)</f>
        <v>0</v>
      </c>
      <c r="O59" s="126" t="e">
        <f>AVERAGE(tbl_SeqLib[Exact])</f>
        <v>#DIV/0!</v>
      </c>
      <c r="P59" s="126">
        <f>MAX(tbl_SeqLib[Exact])</f>
        <v>0</v>
      </c>
      <c r="Q59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59" s="66"/>
      <c r="S59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59" s="41" t="str">
        <f>IF(ISBLANK(#REF!),"",CONCATENATE(exp_id,"_",tbl_SeqLib[[#This Row],[Well]]))</f>
        <v>_A8</v>
      </c>
    </row>
    <row r="60" spans="1:20" ht="15.75" customHeight="1" x14ac:dyDescent="0.3">
      <c r="A60" s="42">
        <v>58</v>
      </c>
      <c r="B60" s="32" t="str">
        <f>RIGHT(tbl_SeqLib[[#This Row],[Well]],LEN(tbl_SeqLib[[#This Row],[Well]])-1)</f>
        <v>8</v>
      </c>
      <c r="C60" s="31" t="s">
        <v>178</v>
      </c>
      <c r="D60" s="18"/>
      <c r="E60" s="19"/>
      <c r="F60" s="18"/>
      <c r="G60" s="78"/>
      <c r="H60" s="25" t="s">
        <v>179</v>
      </c>
      <c r="I60" s="124">
        <f>IF(LEN(tbl_SeqLib[[#This Row],[PCR '[DNA'] (ng / µl)]])&gt;0,1,0)</f>
        <v>0</v>
      </c>
      <c r="J60" s="124">
        <f>IF(LEN(tbl_SeqLib[[#This Row],[Sample ID]])&gt;0,1,0)</f>
        <v>0</v>
      </c>
      <c r="K60" s="124">
        <f>IF(SUMIF(tbl_SeqLib[Column],tbl_SeqLib[[#This Row],[Column]],tbl_SeqLib[DNA conc present])&gt;0,1,0)</f>
        <v>0</v>
      </c>
      <c r="L60" s="124">
        <f>IF(SUM(tbl_SeqLib[[#This Row],[DNA conc present]:[Sample ID present]])&gt;0,1,0)</f>
        <v>0</v>
      </c>
      <c r="M60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0" s="127">
        <f>ROUNDDOWN(_xlfn.MAXIFS(tbl_SeqLib[Exact],tbl_SeqLib[Column],tbl_SeqLib[[#This Row],[Column]]),1)</f>
        <v>0</v>
      </c>
      <c r="O60" s="127" t="e">
        <f>AVERAGE(tbl_SeqLib[Exact])</f>
        <v>#DIV/0!</v>
      </c>
      <c r="P60" s="127">
        <f>MAX(tbl_SeqLib[Exact])</f>
        <v>0</v>
      </c>
      <c r="Q60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0" s="67"/>
      <c r="S60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0" s="43" t="str">
        <f>IF(ISBLANK(#REF!),"",CONCATENATE(exp_id,"_",tbl_SeqLib[[#This Row],[Well]]))</f>
        <v>_B8</v>
      </c>
    </row>
    <row r="61" spans="1:20" ht="15.75" customHeight="1" x14ac:dyDescent="0.3">
      <c r="A61" s="42">
        <v>59</v>
      </c>
      <c r="B61" s="32" t="str">
        <f>RIGHT(tbl_SeqLib[[#This Row],[Well]],LEN(tbl_SeqLib[[#This Row],[Well]])-1)</f>
        <v>8</v>
      </c>
      <c r="C61" s="31" t="s">
        <v>180</v>
      </c>
      <c r="D61" s="18"/>
      <c r="E61" s="19"/>
      <c r="F61" s="18"/>
      <c r="G61" s="78"/>
      <c r="H61" s="25" t="s">
        <v>181</v>
      </c>
      <c r="I61" s="124">
        <f>IF(LEN(tbl_SeqLib[[#This Row],[PCR '[DNA'] (ng / µl)]])&gt;0,1,0)</f>
        <v>0</v>
      </c>
      <c r="J61" s="124">
        <f>IF(LEN(tbl_SeqLib[[#This Row],[Sample ID]])&gt;0,1,0)</f>
        <v>0</v>
      </c>
      <c r="K61" s="124">
        <f>IF(SUMIF(tbl_SeqLib[Column],tbl_SeqLib[[#This Row],[Column]],tbl_SeqLib[DNA conc present])&gt;0,1,0)</f>
        <v>0</v>
      </c>
      <c r="L61" s="124">
        <f>IF(SUM(tbl_SeqLib[[#This Row],[DNA conc present]:[Sample ID present]])&gt;0,1,0)</f>
        <v>0</v>
      </c>
      <c r="M61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1" s="127">
        <f>ROUNDDOWN(_xlfn.MAXIFS(tbl_SeqLib[Exact],tbl_SeqLib[Column],tbl_SeqLib[[#This Row],[Column]]),1)</f>
        <v>0</v>
      </c>
      <c r="O61" s="127" t="e">
        <f>AVERAGE(tbl_SeqLib[Exact])</f>
        <v>#DIV/0!</v>
      </c>
      <c r="P61" s="127">
        <f>MAX(tbl_SeqLib[Exact])</f>
        <v>0</v>
      </c>
      <c r="Q61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1" s="67"/>
      <c r="S61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1" s="43" t="str">
        <f>IF(ISBLANK(#REF!),"",CONCATENATE(exp_id,"_",tbl_SeqLib[[#This Row],[Well]]))</f>
        <v>_C8</v>
      </c>
    </row>
    <row r="62" spans="1:20" ht="15.75" customHeight="1" x14ac:dyDescent="0.3">
      <c r="A62" s="42">
        <v>60</v>
      </c>
      <c r="B62" s="32" t="str">
        <f>RIGHT(tbl_SeqLib[[#This Row],[Well]],LEN(tbl_SeqLib[[#This Row],[Well]])-1)</f>
        <v>8</v>
      </c>
      <c r="C62" s="31" t="s">
        <v>182</v>
      </c>
      <c r="D62" s="18"/>
      <c r="E62" s="19"/>
      <c r="F62" s="18"/>
      <c r="G62" s="78"/>
      <c r="H62" s="25" t="s">
        <v>183</v>
      </c>
      <c r="I62" s="124">
        <f>IF(LEN(tbl_SeqLib[[#This Row],[PCR '[DNA'] (ng / µl)]])&gt;0,1,0)</f>
        <v>0</v>
      </c>
      <c r="J62" s="124">
        <f>IF(LEN(tbl_SeqLib[[#This Row],[Sample ID]])&gt;0,1,0)</f>
        <v>0</v>
      </c>
      <c r="K62" s="124">
        <f>IF(SUMIF(tbl_SeqLib[Column],tbl_SeqLib[[#This Row],[Column]],tbl_SeqLib[DNA conc present])&gt;0,1,0)</f>
        <v>0</v>
      </c>
      <c r="L62" s="124">
        <f>IF(SUM(tbl_SeqLib[[#This Row],[DNA conc present]:[Sample ID present]])&gt;0,1,0)</f>
        <v>0</v>
      </c>
      <c r="M62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2" s="127">
        <f>ROUNDDOWN(_xlfn.MAXIFS(tbl_SeqLib[Exact],tbl_SeqLib[Column],tbl_SeqLib[[#This Row],[Column]]),1)</f>
        <v>0</v>
      </c>
      <c r="O62" s="127" t="e">
        <f>AVERAGE(tbl_SeqLib[Exact])</f>
        <v>#DIV/0!</v>
      </c>
      <c r="P62" s="127">
        <f>MAX(tbl_SeqLib[Exact])</f>
        <v>0</v>
      </c>
      <c r="Q62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2" s="67"/>
      <c r="S62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2" s="43" t="str">
        <f>IF(ISBLANK(#REF!),"",CONCATENATE(exp_id,"_",tbl_SeqLib[[#This Row],[Well]]))</f>
        <v>_D8</v>
      </c>
    </row>
    <row r="63" spans="1:20" ht="15.75" customHeight="1" x14ac:dyDescent="0.3">
      <c r="A63" s="42">
        <v>61</v>
      </c>
      <c r="B63" s="32" t="str">
        <f>RIGHT(tbl_SeqLib[[#This Row],[Well]],LEN(tbl_SeqLib[[#This Row],[Well]])-1)</f>
        <v>8</v>
      </c>
      <c r="C63" s="31" t="s">
        <v>184</v>
      </c>
      <c r="D63" s="18"/>
      <c r="E63" s="19"/>
      <c r="F63" s="18"/>
      <c r="G63" s="78"/>
      <c r="H63" s="25" t="s">
        <v>185</v>
      </c>
      <c r="I63" s="124">
        <f>IF(LEN(tbl_SeqLib[[#This Row],[PCR '[DNA'] (ng / µl)]])&gt;0,1,0)</f>
        <v>0</v>
      </c>
      <c r="J63" s="124">
        <f>IF(LEN(tbl_SeqLib[[#This Row],[Sample ID]])&gt;0,1,0)</f>
        <v>0</v>
      </c>
      <c r="K63" s="124">
        <f>IF(SUMIF(tbl_SeqLib[Column],tbl_SeqLib[[#This Row],[Column]],tbl_SeqLib[DNA conc present])&gt;0,1,0)</f>
        <v>0</v>
      </c>
      <c r="L63" s="124">
        <f>IF(SUM(tbl_SeqLib[[#This Row],[DNA conc present]:[Sample ID present]])&gt;0,1,0)</f>
        <v>0</v>
      </c>
      <c r="M63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3" s="127">
        <f>ROUNDDOWN(_xlfn.MAXIFS(tbl_SeqLib[Exact],tbl_SeqLib[Column],tbl_SeqLib[[#This Row],[Column]]),1)</f>
        <v>0</v>
      </c>
      <c r="O63" s="127" t="e">
        <f>AVERAGE(tbl_SeqLib[Exact])</f>
        <v>#DIV/0!</v>
      </c>
      <c r="P63" s="127">
        <f>MAX(tbl_SeqLib[Exact])</f>
        <v>0</v>
      </c>
      <c r="Q63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3" s="67"/>
      <c r="S63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3" s="43" t="str">
        <f>IF(ISBLANK(#REF!),"",CONCATENATE(exp_id,"_",tbl_SeqLib[[#This Row],[Well]]))</f>
        <v>_E8</v>
      </c>
    </row>
    <row r="64" spans="1:20" ht="15.75" customHeight="1" x14ac:dyDescent="0.3">
      <c r="A64" s="42">
        <v>62</v>
      </c>
      <c r="B64" s="32" t="str">
        <f>RIGHT(tbl_SeqLib[[#This Row],[Well]],LEN(tbl_SeqLib[[#This Row],[Well]])-1)</f>
        <v>8</v>
      </c>
      <c r="C64" s="31" t="s">
        <v>186</v>
      </c>
      <c r="D64" s="18"/>
      <c r="E64" s="19"/>
      <c r="F64" s="18"/>
      <c r="G64" s="78"/>
      <c r="H64" s="25" t="s">
        <v>187</v>
      </c>
      <c r="I64" s="124">
        <f>IF(LEN(tbl_SeqLib[[#This Row],[PCR '[DNA'] (ng / µl)]])&gt;0,1,0)</f>
        <v>0</v>
      </c>
      <c r="J64" s="124">
        <f>IF(LEN(tbl_SeqLib[[#This Row],[Sample ID]])&gt;0,1,0)</f>
        <v>0</v>
      </c>
      <c r="K64" s="124">
        <f>IF(SUMIF(tbl_SeqLib[Column],tbl_SeqLib[[#This Row],[Column]],tbl_SeqLib[DNA conc present])&gt;0,1,0)</f>
        <v>0</v>
      </c>
      <c r="L64" s="124">
        <f>IF(SUM(tbl_SeqLib[[#This Row],[DNA conc present]:[Sample ID present]])&gt;0,1,0)</f>
        <v>0</v>
      </c>
      <c r="M64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4" s="127">
        <f>ROUNDDOWN(_xlfn.MAXIFS(tbl_SeqLib[Exact],tbl_SeqLib[Column],tbl_SeqLib[[#This Row],[Column]]),1)</f>
        <v>0</v>
      </c>
      <c r="O64" s="127" t="e">
        <f>AVERAGE(tbl_SeqLib[Exact])</f>
        <v>#DIV/0!</v>
      </c>
      <c r="P64" s="127">
        <f>MAX(tbl_SeqLib[Exact])</f>
        <v>0</v>
      </c>
      <c r="Q64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4" s="67"/>
      <c r="S64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4" s="43" t="str">
        <f>IF(ISBLANK(#REF!),"",CONCATENATE(exp_id,"_",tbl_SeqLib[[#This Row],[Well]]))</f>
        <v>_F8</v>
      </c>
    </row>
    <row r="65" spans="1:20" ht="15.75" customHeight="1" x14ac:dyDescent="0.3">
      <c r="A65" s="42">
        <v>63</v>
      </c>
      <c r="B65" s="32" t="str">
        <f>RIGHT(tbl_SeqLib[[#This Row],[Well]],LEN(tbl_SeqLib[[#This Row],[Well]])-1)</f>
        <v>8</v>
      </c>
      <c r="C65" s="31" t="s">
        <v>188</v>
      </c>
      <c r="D65" s="18"/>
      <c r="E65" s="19"/>
      <c r="F65" s="18"/>
      <c r="G65" s="78"/>
      <c r="H65" s="25" t="s">
        <v>189</v>
      </c>
      <c r="I65" s="124">
        <f>IF(LEN(tbl_SeqLib[[#This Row],[PCR '[DNA'] (ng / µl)]])&gt;0,1,0)</f>
        <v>0</v>
      </c>
      <c r="J65" s="124">
        <f>IF(LEN(tbl_SeqLib[[#This Row],[Sample ID]])&gt;0,1,0)</f>
        <v>0</v>
      </c>
      <c r="K65" s="124">
        <f>IF(SUMIF(tbl_SeqLib[Column],tbl_SeqLib[[#This Row],[Column]],tbl_SeqLib[DNA conc present])&gt;0,1,0)</f>
        <v>0</v>
      </c>
      <c r="L65" s="124">
        <f>IF(SUM(tbl_SeqLib[[#This Row],[DNA conc present]:[Sample ID present]])&gt;0,1,0)</f>
        <v>0</v>
      </c>
      <c r="M65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5" s="127">
        <f>ROUNDDOWN(_xlfn.MAXIFS(tbl_SeqLib[Exact],tbl_SeqLib[Column],tbl_SeqLib[[#This Row],[Column]]),1)</f>
        <v>0</v>
      </c>
      <c r="O65" s="127" t="e">
        <f>AVERAGE(tbl_SeqLib[Exact])</f>
        <v>#DIV/0!</v>
      </c>
      <c r="P65" s="127">
        <f>MAX(tbl_SeqLib[Exact])</f>
        <v>0</v>
      </c>
      <c r="Q65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5" s="67"/>
      <c r="S65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5" s="43" t="str">
        <f>IF(ISBLANK(#REF!),"",CONCATENATE(exp_id,"_",tbl_SeqLib[[#This Row],[Well]]))</f>
        <v>_G8</v>
      </c>
    </row>
    <row r="66" spans="1:20" ht="15.75" customHeight="1" thickBot="1" x14ac:dyDescent="0.35">
      <c r="A66" s="44">
        <v>64</v>
      </c>
      <c r="B66" s="45" t="str">
        <f>RIGHT(tbl_SeqLib[[#This Row],[Well]],LEN(tbl_SeqLib[[#This Row],[Well]])-1)</f>
        <v>8</v>
      </c>
      <c r="C66" s="51" t="s">
        <v>190</v>
      </c>
      <c r="D66" s="46"/>
      <c r="E66" s="47"/>
      <c r="F66" s="46"/>
      <c r="G66" s="79"/>
      <c r="H66" s="48" t="s">
        <v>191</v>
      </c>
      <c r="I66" s="125">
        <f>IF(LEN(tbl_SeqLib[[#This Row],[PCR '[DNA'] (ng / µl)]])&gt;0,1,0)</f>
        <v>0</v>
      </c>
      <c r="J66" s="125">
        <f>IF(LEN(tbl_SeqLib[[#This Row],[Sample ID]])&gt;0,1,0)</f>
        <v>0</v>
      </c>
      <c r="K66" s="125">
        <f>IF(SUMIF(tbl_SeqLib[Column],tbl_SeqLib[[#This Row],[Column]],tbl_SeqLib[DNA conc present])&gt;0,1,0)</f>
        <v>0</v>
      </c>
      <c r="L66" s="125">
        <f>IF(SUM(tbl_SeqLib[[#This Row],[DNA conc present]:[Sample ID present]])&gt;0,1,0)</f>
        <v>0</v>
      </c>
      <c r="M66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6" s="128">
        <f>ROUNDDOWN(_xlfn.MAXIFS(tbl_SeqLib[Exact],tbl_SeqLib[Column],tbl_SeqLib[[#This Row],[Column]]),1)</f>
        <v>0</v>
      </c>
      <c r="O66" s="128" t="e">
        <f>AVERAGE(tbl_SeqLib[Exact])</f>
        <v>#DIV/0!</v>
      </c>
      <c r="P66" s="128">
        <f>MAX(tbl_SeqLib[Exact])</f>
        <v>0</v>
      </c>
      <c r="Q66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6" s="68"/>
      <c r="S66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6" s="50" t="str">
        <f>IF(ISBLANK(#REF!),"",CONCATENATE(exp_id,"_",tbl_SeqLib[[#This Row],[Well]]))</f>
        <v>_H8</v>
      </c>
    </row>
    <row r="67" spans="1:20" ht="15.75" customHeight="1" x14ac:dyDescent="0.3">
      <c r="A67" s="36">
        <v>65</v>
      </c>
      <c r="B67" s="37" t="str">
        <f>RIGHT(tbl_SeqLib[[#This Row],[Well]],LEN(tbl_SeqLib[[#This Row],[Well]])-1)</f>
        <v>9</v>
      </c>
      <c r="C67" s="37" t="s">
        <v>192</v>
      </c>
      <c r="D67" s="38"/>
      <c r="E67" s="39"/>
      <c r="F67" s="38"/>
      <c r="G67" s="77"/>
      <c r="H67" s="39" t="s">
        <v>193</v>
      </c>
      <c r="I67" s="123">
        <f>IF(LEN(tbl_SeqLib[[#This Row],[PCR '[DNA'] (ng / µl)]])&gt;0,1,0)</f>
        <v>0</v>
      </c>
      <c r="J67" s="123">
        <f>IF(LEN(tbl_SeqLib[[#This Row],[Sample ID]])&gt;0,1,0)</f>
        <v>0</v>
      </c>
      <c r="K67" s="123">
        <f>IF(SUMIF(tbl_SeqLib[Column],tbl_SeqLib[[#This Row],[Column]],tbl_SeqLib[DNA conc present])&gt;0,1,0)</f>
        <v>0</v>
      </c>
      <c r="L67" s="123">
        <f>IF(SUM(tbl_SeqLib[[#This Row],[DNA conc present]:[Sample ID present]])&gt;0,1,0)</f>
        <v>0</v>
      </c>
      <c r="M67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7" s="126">
        <f>ROUNDDOWN(_xlfn.MAXIFS(tbl_SeqLib[Exact],tbl_SeqLib[Column],tbl_SeqLib[[#This Row],[Column]]),1)</f>
        <v>0</v>
      </c>
      <c r="O67" s="126" t="e">
        <f>AVERAGE(tbl_SeqLib[Exact])</f>
        <v>#DIV/0!</v>
      </c>
      <c r="P67" s="126">
        <f>MAX(tbl_SeqLib[Exact])</f>
        <v>0</v>
      </c>
      <c r="Q67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7" s="66"/>
      <c r="S67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7" s="41" t="str">
        <f>IF(ISBLANK(#REF!),"",CONCATENATE(exp_id,"_",tbl_SeqLib[[#This Row],[Well]]))</f>
        <v>_A9</v>
      </c>
    </row>
    <row r="68" spans="1:20" ht="15.75" customHeight="1" x14ac:dyDescent="0.3">
      <c r="A68" s="42">
        <v>66</v>
      </c>
      <c r="B68" s="32" t="str">
        <f>RIGHT(tbl_SeqLib[[#This Row],[Well]],LEN(tbl_SeqLib[[#This Row],[Well]])-1)</f>
        <v>9</v>
      </c>
      <c r="C68" s="31" t="s">
        <v>194</v>
      </c>
      <c r="D68" s="18"/>
      <c r="E68" s="19"/>
      <c r="F68" s="18"/>
      <c r="G68" s="78"/>
      <c r="H68" s="25" t="s">
        <v>195</v>
      </c>
      <c r="I68" s="124">
        <f>IF(LEN(tbl_SeqLib[[#This Row],[PCR '[DNA'] (ng / µl)]])&gt;0,1,0)</f>
        <v>0</v>
      </c>
      <c r="J68" s="124">
        <f>IF(LEN(tbl_SeqLib[[#This Row],[Sample ID]])&gt;0,1,0)</f>
        <v>0</v>
      </c>
      <c r="K68" s="124">
        <f>IF(SUMIF(tbl_SeqLib[Column],tbl_SeqLib[[#This Row],[Column]],tbl_SeqLib[DNA conc present])&gt;0,1,0)</f>
        <v>0</v>
      </c>
      <c r="L68" s="124">
        <f>IF(SUM(tbl_SeqLib[[#This Row],[DNA conc present]:[Sample ID present]])&gt;0,1,0)</f>
        <v>0</v>
      </c>
      <c r="M68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8" s="127">
        <f>ROUNDDOWN(_xlfn.MAXIFS(tbl_SeqLib[Exact],tbl_SeqLib[Column],tbl_SeqLib[[#This Row],[Column]]),1)</f>
        <v>0</v>
      </c>
      <c r="O68" s="127" t="e">
        <f>AVERAGE(tbl_SeqLib[Exact])</f>
        <v>#DIV/0!</v>
      </c>
      <c r="P68" s="127">
        <f>MAX(tbl_SeqLib[Exact])</f>
        <v>0</v>
      </c>
      <c r="Q68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8" s="67"/>
      <c r="S68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8" s="43" t="str">
        <f>IF(ISBLANK(#REF!),"",CONCATENATE(exp_id,"_",tbl_SeqLib[[#This Row],[Well]]))</f>
        <v>_B9</v>
      </c>
    </row>
    <row r="69" spans="1:20" ht="15.75" customHeight="1" x14ac:dyDescent="0.3">
      <c r="A69" s="42">
        <v>67</v>
      </c>
      <c r="B69" s="32" t="str">
        <f>RIGHT(tbl_SeqLib[[#This Row],[Well]],LEN(tbl_SeqLib[[#This Row],[Well]])-1)</f>
        <v>9</v>
      </c>
      <c r="C69" s="31" t="s">
        <v>196</v>
      </c>
      <c r="D69" s="18"/>
      <c r="E69" s="19"/>
      <c r="F69" s="18"/>
      <c r="G69" s="78"/>
      <c r="H69" s="25" t="s">
        <v>197</v>
      </c>
      <c r="I69" s="124">
        <f>IF(LEN(tbl_SeqLib[[#This Row],[PCR '[DNA'] (ng / µl)]])&gt;0,1,0)</f>
        <v>0</v>
      </c>
      <c r="J69" s="124">
        <f>IF(LEN(tbl_SeqLib[[#This Row],[Sample ID]])&gt;0,1,0)</f>
        <v>0</v>
      </c>
      <c r="K69" s="124">
        <f>IF(SUMIF(tbl_SeqLib[Column],tbl_SeqLib[[#This Row],[Column]],tbl_SeqLib[DNA conc present])&gt;0,1,0)</f>
        <v>0</v>
      </c>
      <c r="L69" s="124">
        <f>IF(SUM(tbl_SeqLib[[#This Row],[DNA conc present]:[Sample ID present]])&gt;0,1,0)</f>
        <v>0</v>
      </c>
      <c r="M69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69" s="127">
        <f>ROUNDDOWN(_xlfn.MAXIFS(tbl_SeqLib[Exact],tbl_SeqLib[Column],tbl_SeqLib[[#This Row],[Column]]),1)</f>
        <v>0</v>
      </c>
      <c r="O69" s="127" t="e">
        <f>AVERAGE(tbl_SeqLib[Exact])</f>
        <v>#DIV/0!</v>
      </c>
      <c r="P69" s="127">
        <f>MAX(tbl_SeqLib[Exact])</f>
        <v>0</v>
      </c>
      <c r="Q69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69" s="67"/>
      <c r="S69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69" s="43" t="str">
        <f>IF(ISBLANK(#REF!),"",CONCATENATE(exp_id,"_",tbl_SeqLib[[#This Row],[Well]]))</f>
        <v>_C9</v>
      </c>
    </row>
    <row r="70" spans="1:20" ht="15.75" customHeight="1" x14ac:dyDescent="0.3">
      <c r="A70" s="42">
        <v>68</v>
      </c>
      <c r="B70" s="32" t="str">
        <f>RIGHT(tbl_SeqLib[[#This Row],[Well]],LEN(tbl_SeqLib[[#This Row],[Well]])-1)</f>
        <v>9</v>
      </c>
      <c r="C70" s="31" t="s">
        <v>198</v>
      </c>
      <c r="D70" s="18"/>
      <c r="E70" s="19"/>
      <c r="F70" s="18"/>
      <c r="G70" s="78"/>
      <c r="H70" s="25" t="s">
        <v>199</v>
      </c>
      <c r="I70" s="124">
        <f>IF(LEN(tbl_SeqLib[[#This Row],[PCR '[DNA'] (ng / µl)]])&gt;0,1,0)</f>
        <v>0</v>
      </c>
      <c r="J70" s="124">
        <f>IF(LEN(tbl_SeqLib[[#This Row],[Sample ID]])&gt;0,1,0)</f>
        <v>0</v>
      </c>
      <c r="K70" s="124">
        <f>IF(SUMIF(tbl_SeqLib[Column],tbl_SeqLib[[#This Row],[Column]],tbl_SeqLib[DNA conc present])&gt;0,1,0)</f>
        <v>0</v>
      </c>
      <c r="L70" s="124">
        <f>IF(SUM(tbl_SeqLib[[#This Row],[DNA conc present]:[Sample ID present]])&gt;0,1,0)</f>
        <v>0</v>
      </c>
      <c r="M70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0" s="127">
        <f>ROUNDDOWN(_xlfn.MAXIFS(tbl_SeqLib[Exact],tbl_SeqLib[Column],tbl_SeqLib[[#This Row],[Column]]),1)</f>
        <v>0</v>
      </c>
      <c r="O70" s="127" t="e">
        <f>AVERAGE(tbl_SeqLib[Exact])</f>
        <v>#DIV/0!</v>
      </c>
      <c r="P70" s="127">
        <f>MAX(tbl_SeqLib[Exact])</f>
        <v>0</v>
      </c>
      <c r="Q70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0" s="67"/>
      <c r="S70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0" s="43" t="str">
        <f>IF(ISBLANK(#REF!),"",CONCATENATE(exp_id,"_",tbl_SeqLib[[#This Row],[Well]]))</f>
        <v>_D9</v>
      </c>
    </row>
    <row r="71" spans="1:20" ht="15.75" customHeight="1" x14ac:dyDescent="0.3">
      <c r="A71" s="42">
        <v>69</v>
      </c>
      <c r="B71" s="32" t="str">
        <f>RIGHT(tbl_SeqLib[[#This Row],[Well]],LEN(tbl_SeqLib[[#This Row],[Well]])-1)</f>
        <v>9</v>
      </c>
      <c r="C71" s="31" t="s">
        <v>200</v>
      </c>
      <c r="D71" s="18"/>
      <c r="E71" s="19"/>
      <c r="F71" s="18"/>
      <c r="G71" s="78"/>
      <c r="H71" s="25" t="s">
        <v>201</v>
      </c>
      <c r="I71" s="124">
        <f>IF(LEN(tbl_SeqLib[[#This Row],[PCR '[DNA'] (ng / µl)]])&gt;0,1,0)</f>
        <v>0</v>
      </c>
      <c r="J71" s="124">
        <f>IF(LEN(tbl_SeqLib[[#This Row],[Sample ID]])&gt;0,1,0)</f>
        <v>0</v>
      </c>
      <c r="K71" s="124">
        <f>IF(SUMIF(tbl_SeqLib[Column],tbl_SeqLib[[#This Row],[Column]],tbl_SeqLib[DNA conc present])&gt;0,1,0)</f>
        <v>0</v>
      </c>
      <c r="L71" s="124">
        <f>IF(SUM(tbl_SeqLib[[#This Row],[DNA conc present]:[Sample ID present]])&gt;0,1,0)</f>
        <v>0</v>
      </c>
      <c r="M71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1" s="127">
        <f>ROUNDDOWN(_xlfn.MAXIFS(tbl_SeqLib[Exact],tbl_SeqLib[Column],tbl_SeqLib[[#This Row],[Column]]),1)</f>
        <v>0</v>
      </c>
      <c r="O71" s="127" t="e">
        <f>AVERAGE(tbl_SeqLib[Exact])</f>
        <v>#DIV/0!</v>
      </c>
      <c r="P71" s="127">
        <f>MAX(tbl_SeqLib[Exact])</f>
        <v>0</v>
      </c>
      <c r="Q71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1" s="67"/>
      <c r="S71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1" s="43" t="str">
        <f>IF(ISBLANK(#REF!),"",CONCATENATE(exp_id,"_",tbl_SeqLib[[#This Row],[Well]]))</f>
        <v>_E9</v>
      </c>
    </row>
    <row r="72" spans="1:20" ht="15.75" customHeight="1" x14ac:dyDescent="0.3">
      <c r="A72" s="42">
        <v>70</v>
      </c>
      <c r="B72" s="32" t="str">
        <f>RIGHT(tbl_SeqLib[[#This Row],[Well]],LEN(tbl_SeqLib[[#This Row],[Well]])-1)</f>
        <v>9</v>
      </c>
      <c r="C72" s="31" t="s">
        <v>202</v>
      </c>
      <c r="D72" s="18"/>
      <c r="E72" s="19"/>
      <c r="F72" s="18"/>
      <c r="G72" s="78"/>
      <c r="H72" s="25" t="s">
        <v>203</v>
      </c>
      <c r="I72" s="124">
        <f>IF(LEN(tbl_SeqLib[[#This Row],[PCR '[DNA'] (ng / µl)]])&gt;0,1,0)</f>
        <v>0</v>
      </c>
      <c r="J72" s="124">
        <f>IF(LEN(tbl_SeqLib[[#This Row],[Sample ID]])&gt;0,1,0)</f>
        <v>0</v>
      </c>
      <c r="K72" s="124">
        <f>IF(SUMIF(tbl_SeqLib[Column],tbl_SeqLib[[#This Row],[Column]],tbl_SeqLib[DNA conc present])&gt;0,1,0)</f>
        <v>0</v>
      </c>
      <c r="L72" s="124">
        <f>IF(SUM(tbl_SeqLib[[#This Row],[DNA conc present]:[Sample ID present]])&gt;0,1,0)</f>
        <v>0</v>
      </c>
      <c r="M72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2" s="127">
        <f>ROUNDDOWN(_xlfn.MAXIFS(tbl_SeqLib[Exact],tbl_SeqLib[Column],tbl_SeqLib[[#This Row],[Column]]),1)</f>
        <v>0</v>
      </c>
      <c r="O72" s="127" t="e">
        <f>AVERAGE(tbl_SeqLib[Exact])</f>
        <v>#DIV/0!</v>
      </c>
      <c r="P72" s="127">
        <f>MAX(tbl_SeqLib[Exact])</f>
        <v>0</v>
      </c>
      <c r="Q72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2" s="67"/>
      <c r="S72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2" s="43" t="str">
        <f>IF(ISBLANK(#REF!),"",CONCATENATE(exp_id,"_",tbl_SeqLib[[#This Row],[Well]]))</f>
        <v>_F9</v>
      </c>
    </row>
    <row r="73" spans="1:20" ht="15.75" customHeight="1" x14ac:dyDescent="0.3">
      <c r="A73" s="42">
        <v>71</v>
      </c>
      <c r="B73" s="32" t="str">
        <f>RIGHT(tbl_SeqLib[[#This Row],[Well]],LEN(tbl_SeqLib[[#This Row],[Well]])-1)</f>
        <v>9</v>
      </c>
      <c r="C73" s="31" t="s">
        <v>204</v>
      </c>
      <c r="D73" s="18"/>
      <c r="E73" s="19"/>
      <c r="F73" s="18"/>
      <c r="G73" s="78"/>
      <c r="H73" s="25" t="s">
        <v>205</v>
      </c>
      <c r="I73" s="124">
        <f>IF(LEN(tbl_SeqLib[[#This Row],[PCR '[DNA'] (ng / µl)]])&gt;0,1,0)</f>
        <v>0</v>
      </c>
      <c r="J73" s="124">
        <f>IF(LEN(tbl_SeqLib[[#This Row],[Sample ID]])&gt;0,1,0)</f>
        <v>0</v>
      </c>
      <c r="K73" s="124">
        <f>IF(SUMIF(tbl_SeqLib[Column],tbl_SeqLib[[#This Row],[Column]],tbl_SeqLib[DNA conc present])&gt;0,1,0)</f>
        <v>0</v>
      </c>
      <c r="L73" s="124">
        <f>IF(SUM(tbl_SeqLib[[#This Row],[DNA conc present]:[Sample ID present]])&gt;0,1,0)</f>
        <v>0</v>
      </c>
      <c r="M73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3" s="127">
        <f>ROUNDDOWN(_xlfn.MAXIFS(tbl_SeqLib[Exact],tbl_SeqLib[Column],tbl_SeqLib[[#This Row],[Column]]),1)</f>
        <v>0</v>
      </c>
      <c r="O73" s="127" t="e">
        <f>AVERAGE(tbl_SeqLib[Exact])</f>
        <v>#DIV/0!</v>
      </c>
      <c r="P73" s="127">
        <f>MAX(tbl_SeqLib[Exact])</f>
        <v>0</v>
      </c>
      <c r="Q73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3" s="67"/>
      <c r="S73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3" s="43" t="str">
        <f>IF(ISBLANK(#REF!),"",CONCATENATE(exp_id,"_",tbl_SeqLib[[#This Row],[Well]]))</f>
        <v>_G9</v>
      </c>
    </row>
    <row r="74" spans="1:20" ht="15.75" customHeight="1" thickBot="1" x14ac:dyDescent="0.35">
      <c r="A74" s="44">
        <v>72</v>
      </c>
      <c r="B74" s="45" t="str">
        <f>RIGHT(tbl_SeqLib[[#This Row],[Well]],LEN(tbl_SeqLib[[#This Row],[Well]])-1)</f>
        <v>9</v>
      </c>
      <c r="C74" s="51" t="s">
        <v>206</v>
      </c>
      <c r="D74" s="46"/>
      <c r="E74" s="47"/>
      <c r="F74" s="46"/>
      <c r="G74" s="79"/>
      <c r="H74" s="48" t="s">
        <v>207</v>
      </c>
      <c r="I74" s="125">
        <f>IF(LEN(tbl_SeqLib[[#This Row],[PCR '[DNA'] (ng / µl)]])&gt;0,1,0)</f>
        <v>0</v>
      </c>
      <c r="J74" s="125">
        <f>IF(LEN(tbl_SeqLib[[#This Row],[Sample ID]])&gt;0,1,0)</f>
        <v>0</v>
      </c>
      <c r="K74" s="125">
        <f>IF(SUMIF(tbl_SeqLib[Column],tbl_SeqLib[[#This Row],[Column]],tbl_SeqLib[DNA conc present])&gt;0,1,0)</f>
        <v>0</v>
      </c>
      <c r="L74" s="125">
        <f>IF(SUM(tbl_SeqLib[[#This Row],[DNA conc present]:[Sample ID present]])&gt;0,1,0)</f>
        <v>0</v>
      </c>
      <c r="M74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4" s="128">
        <f>ROUNDDOWN(_xlfn.MAXIFS(tbl_SeqLib[Exact],tbl_SeqLib[Column],tbl_SeqLib[[#This Row],[Column]]),1)</f>
        <v>0</v>
      </c>
      <c r="O74" s="128" t="e">
        <f>AVERAGE(tbl_SeqLib[Exact])</f>
        <v>#DIV/0!</v>
      </c>
      <c r="P74" s="128">
        <f>MAX(tbl_SeqLib[Exact])</f>
        <v>0</v>
      </c>
      <c r="Q74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4" s="68"/>
      <c r="S74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4" s="50" t="str">
        <f>IF(ISBLANK(#REF!),"",CONCATENATE(exp_id,"_",tbl_SeqLib[[#This Row],[Well]]))</f>
        <v>_H9</v>
      </c>
    </row>
    <row r="75" spans="1:20" ht="15.75" customHeight="1" x14ac:dyDescent="0.3">
      <c r="A75" s="36">
        <v>73</v>
      </c>
      <c r="B75" s="37" t="str">
        <f>RIGHT(tbl_SeqLib[[#This Row],[Well]],LEN(tbl_SeqLib[[#This Row],[Well]])-1)</f>
        <v>10</v>
      </c>
      <c r="C75" s="37" t="s">
        <v>208</v>
      </c>
      <c r="D75" s="38"/>
      <c r="E75" s="39"/>
      <c r="F75" s="38"/>
      <c r="G75" s="77"/>
      <c r="H75" s="39" t="s">
        <v>209</v>
      </c>
      <c r="I75" s="123">
        <f>IF(LEN(tbl_SeqLib[[#This Row],[PCR '[DNA'] (ng / µl)]])&gt;0,1,0)</f>
        <v>0</v>
      </c>
      <c r="J75" s="123">
        <f>IF(LEN(tbl_SeqLib[[#This Row],[Sample ID]])&gt;0,1,0)</f>
        <v>0</v>
      </c>
      <c r="K75" s="123">
        <f>IF(SUMIF(tbl_SeqLib[Column],tbl_SeqLib[[#This Row],[Column]],tbl_SeqLib[DNA conc present])&gt;0,1,0)</f>
        <v>0</v>
      </c>
      <c r="L75" s="123">
        <f>IF(SUM(tbl_SeqLib[[#This Row],[DNA conc present]:[Sample ID present]])&gt;0,1,0)</f>
        <v>0</v>
      </c>
      <c r="M75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5" s="126">
        <f>ROUNDDOWN(_xlfn.MAXIFS(tbl_SeqLib[Exact],tbl_SeqLib[Column],tbl_SeqLib[[#This Row],[Column]]),1)</f>
        <v>0</v>
      </c>
      <c r="O75" s="126" t="e">
        <f>AVERAGE(tbl_SeqLib[Exact])</f>
        <v>#DIV/0!</v>
      </c>
      <c r="P75" s="126">
        <f>MAX(tbl_SeqLib[Exact])</f>
        <v>0</v>
      </c>
      <c r="Q75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5" s="66"/>
      <c r="S75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5" s="41" t="str">
        <f>IF(ISBLANK(#REF!),"",CONCATENATE(exp_id,"_",tbl_SeqLib[[#This Row],[Well]]))</f>
        <v>_A10</v>
      </c>
    </row>
    <row r="76" spans="1:20" ht="15.75" customHeight="1" x14ac:dyDescent="0.3">
      <c r="A76" s="42">
        <v>74</v>
      </c>
      <c r="B76" s="32" t="str">
        <f>RIGHT(tbl_SeqLib[[#This Row],[Well]],LEN(tbl_SeqLib[[#This Row],[Well]])-1)</f>
        <v>10</v>
      </c>
      <c r="C76" s="31" t="s">
        <v>210</v>
      </c>
      <c r="D76" s="18"/>
      <c r="E76" s="19"/>
      <c r="F76" s="18"/>
      <c r="G76" s="78"/>
      <c r="H76" s="25" t="s">
        <v>211</v>
      </c>
      <c r="I76" s="124">
        <f>IF(LEN(tbl_SeqLib[[#This Row],[PCR '[DNA'] (ng / µl)]])&gt;0,1,0)</f>
        <v>0</v>
      </c>
      <c r="J76" s="124">
        <f>IF(LEN(tbl_SeqLib[[#This Row],[Sample ID]])&gt;0,1,0)</f>
        <v>0</v>
      </c>
      <c r="K76" s="124">
        <f>IF(SUMIF(tbl_SeqLib[Column],tbl_SeqLib[[#This Row],[Column]],tbl_SeqLib[DNA conc present])&gt;0,1,0)</f>
        <v>0</v>
      </c>
      <c r="L76" s="124">
        <f>IF(SUM(tbl_SeqLib[[#This Row],[DNA conc present]:[Sample ID present]])&gt;0,1,0)</f>
        <v>0</v>
      </c>
      <c r="M76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6" s="127">
        <f>ROUNDDOWN(_xlfn.MAXIFS(tbl_SeqLib[Exact],tbl_SeqLib[Column],tbl_SeqLib[[#This Row],[Column]]),1)</f>
        <v>0</v>
      </c>
      <c r="O76" s="127" t="e">
        <f>AVERAGE(tbl_SeqLib[Exact])</f>
        <v>#DIV/0!</v>
      </c>
      <c r="P76" s="127">
        <f>MAX(tbl_SeqLib[Exact])</f>
        <v>0</v>
      </c>
      <c r="Q76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6" s="67"/>
      <c r="S76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6" s="43" t="str">
        <f>IF(ISBLANK(#REF!),"",CONCATENATE(exp_id,"_",tbl_SeqLib[[#This Row],[Well]]))</f>
        <v>_B10</v>
      </c>
    </row>
    <row r="77" spans="1:20" ht="15.75" customHeight="1" x14ac:dyDescent="0.3">
      <c r="A77" s="42">
        <v>75</v>
      </c>
      <c r="B77" s="32" t="str">
        <f>RIGHT(tbl_SeqLib[[#This Row],[Well]],LEN(tbl_SeqLib[[#This Row],[Well]])-1)</f>
        <v>10</v>
      </c>
      <c r="C77" s="31" t="s">
        <v>212</v>
      </c>
      <c r="D77" s="18"/>
      <c r="E77" s="19"/>
      <c r="F77" s="18"/>
      <c r="G77" s="78"/>
      <c r="H77" s="25" t="s">
        <v>213</v>
      </c>
      <c r="I77" s="124">
        <f>IF(LEN(tbl_SeqLib[[#This Row],[PCR '[DNA'] (ng / µl)]])&gt;0,1,0)</f>
        <v>0</v>
      </c>
      <c r="J77" s="124">
        <f>IF(LEN(tbl_SeqLib[[#This Row],[Sample ID]])&gt;0,1,0)</f>
        <v>0</v>
      </c>
      <c r="K77" s="124">
        <f>IF(SUMIF(tbl_SeqLib[Column],tbl_SeqLib[[#This Row],[Column]],tbl_SeqLib[DNA conc present])&gt;0,1,0)</f>
        <v>0</v>
      </c>
      <c r="L77" s="124">
        <f>IF(SUM(tbl_SeqLib[[#This Row],[DNA conc present]:[Sample ID present]])&gt;0,1,0)</f>
        <v>0</v>
      </c>
      <c r="M77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7" s="127">
        <f>ROUNDDOWN(_xlfn.MAXIFS(tbl_SeqLib[Exact],tbl_SeqLib[Column],tbl_SeqLib[[#This Row],[Column]]),1)</f>
        <v>0</v>
      </c>
      <c r="O77" s="127" t="e">
        <f>AVERAGE(tbl_SeqLib[Exact])</f>
        <v>#DIV/0!</v>
      </c>
      <c r="P77" s="127">
        <f>MAX(tbl_SeqLib[Exact])</f>
        <v>0</v>
      </c>
      <c r="Q77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7" s="67"/>
      <c r="S77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7" s="43" t="str">
        <f>IF(ISBLANK(#REF!),"",CONCATENATE(exp_id,"_",tbl_SeqLib[[#This Row],[Well]]))</f>
        <v>_C10</v>
      </c>
    </row>
    <row r="78" spans="1:20" ht="15.75" customHeight="1" x14ac:dyDescent="0.3">
      <c r="A78" s="42">
        <v>76</v>
      </c>
      <c r="B78" s="32" t="str">
        <f>RIGHT(tbl_SeqLib[[#This Row],[Well]],LEN(tbl_SeqLib[[#This Row],[Well]])-1)</f>
        <v>10</v>
      </c>
      <c r="C78" s="31" t="s">
        <v>214</v>
      </c>
      <c r="D78" s="18"/>
      <c r="E78" s="19"/>
      <c r="F78" s="18"/>
      <c r="G78" s="78"/>
      <c r="H78" s="25" t="s">
        <v>215</v>
      </c>
      <c r="I78" s="124">
        <f>IF(LEN(tbl_SeqLib[[#This Row],[PCR '[DNA'] (ng / µl)]])&gt;0,1,0)</f>
        <v>0</v>
      </c>
      <c r="J78" s="124">
        <f>IF(LEN(tbl_SeqLib[[#This Row],[Sample ID]])&gt;0,1,0)</f>
        <v>0</v>
      </c>
      <c r="K78" s="124">
        <f>IF(SUMIF(tbl_SeqLib[Column],tbl_SeqLib[[#This Row],[Column]],tbl_SeqLib[DNA conc present])&gt;0,1,0)</f>
        <v>0</v>
      </c>
      <c r="L78" s="124">
        <f>IF(SUM(tbl_SeqLib[[#This Row],[DNA conc present]:[Sample ID present]])&gt;0,1,0)</f>
        <v>0</v>
      </c>
      <c r="M78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8" s="127">
        <f>ROUNDDOWN(_xlfn.MAXIFS(tbl_SeqLib[Exact],tbl_SeqLib[Column],tbl_SeqLib[[#This Row],[Column]]),1)</f>
        <v>0</v>
      </c>
      <c r="O78" s="127" t="e">
        <f>AVERAGE(tbl_SeqLib[Exact])</f>
        <v>#DIV/0!</v>
      </c>
      <c r="P78" s="127">
        <f>MAX(tbl_SeqLib[Exact])</f>
        <v>0</v>
      </c>
      <c r="Q78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8" s="67"/>
      <c r="S78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8" s="43" t="str">
        <f>IF(ISBLANK(#REF!),"",CONCATENATE(exp_id,"_",tbl_SeqLib[[#This Row],[Well]]))</f>
        <v>_D10</v>
      </c>
    </row>
    <row r="79" spans="1:20" ht="15.75" customHeight="1" x14ac:dyDescent="0.3">
      <c r="A79" s="42">
        <v>77</v>
      </c>
      <c r="B79" s="32" t="str">
        <f>RIGHT(tbl_SeqLib[[#This Row],[Well]],LEN(tbl_SeqLib[[#This Row],[Well]])-1)</f>
        <v>10</v>
      </c>
      <c r="C79" s="31" t="s">
        <v>216</v>
      </c>
      <c r="D79" s="18"/>
      <c r="E79" s="19"/>
      <c r="F79" s="18"/>
      <c r="G79" s="78"/>
      <c r="H79" s="25" t="s">
        <v>217</v>
      </c>
      <c r="I79" s="124">
        <f>IF(LEN(tbl_SeqLib[[#This Row],[PCR '[DNA'] (ng / µl)]])&gt;0,1,0)</f>
        <v>0</v>
      </c>
      <c r="J79" s="124">
        <f>IF(LEN(tbl_SeqLib[[#This Row],[Sample ID]])&gt;0,1,0)</f>
        <v>0</v>
      </c>
      <c r="K79" s="124">
        <f>IF(SUMIF(tbl_SeqLib[Column],tbl_SeqLib[[#This Row],[Column]],tbl_SeqLib[DNA conc present])&gt;0,1,0)</f>
        <v>0</v>
      </c>
      <c r="L79" s="124">
        <f>IF(SUM(tbl_SeqLib[[#This Row],[DNA conc present]:[Sample ID present]])&gt;0,1,0)</f>
        <v>0</v>
      </c>
      <c r="M79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79" s="127">
        <f>ROUNDDOWN(_xlfn.MAXIFS(tbl_SeqLib[Exact],tbl_SeqLib[Column],tbl_SeqLib[[#This Row],[Column]]),1)</f>
        <v>0</v>
      </c>
      <c r="O79" s="127" t="e">
        <f>AVERAGE(tbl_SeqLib[Exact])</f>
        <v>#DIV/0!</v>
      </c>
      <c r="P79" s="127">
        <f>MAX(tbl_SeqLib[Exact])</f>
        <v>0</v>
      </c>
      <c r="Q79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79" s="67"/>
      <c r="S79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79" s="43" t="str">
        <f>IF(ISBLANK(#REF!),"",CONCATENATE(exp_id,"_",tbl_SeqLib[[#This Row],[Well]]))</f>
        <v>_E10</v>
      </c>
    </row>
    <row r="80" spans="1:20" ht="15.75" customHeight="1" x14ac:dyDescent="0.3">
      <c r="A80" s="42">
        <v>78</v>
      </c>
      <c r="B80" s="32" t="str">
        <f>RIGHT(tbl_SeqLib[[#This Row],[Well]],LEN(tbl_SeqLib[[#This Row],[Well]])-1)</f>
        <v>10</v>
      </c>
      <c r="C80" s="31" t="s">
        <v>218</v>
      </c>
      <c r="D80" s="18"/>
      <c r="E80" s="19"/>
      <c r="F80" s="18"/>
      <c r="G80" s="78"/>
      <c r="H80" s="25" t="s">
        <v>219</v>
      </c>
      <c r="I80" s="124">
        <f>IF(LEN(tbl_SeqLib[[#This Row],[PCR '[DNA'] (ng / µl)]])&gt;0,1,0)</f>
        <v>0</v>
      </c>
      <c r="J80" s="124">
        <f>IF(LEN(tbl_SeqLib[[#This Row],[Sample ID]])&gt;0,1,0)</f>
        <v>0</v>
      </c>
      <c r="K80" s="124">
        <f>IF(SUMIF(tbl_SeqLib[Column],tbl_SeqLib[[#This Row],[Column]],tbl_SeqLib[DNA conc present])&gt;0,1,0)</f>
        <v>0</v>
      </c>
      <c r="L80" s="124">
        <f>IF(SUM(tbl_SeqLib[[#This Row],[DNA conc present]:[Sample ID present]])&gt;0,1,0)</f>
        <v>0</v>
      </c>
      <c r="M80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0" s="127">
        <f>ROUNDDOWN(_xlfn.MAXIFS(tbl_SeqLib[Exact],tbl_SeqLib[Column],tbl_SeqLib[[#This Row],[Column]]),1)</f>
        <v>0</v>
      </c>
      <c r="O80" s="127" t="e">
        <f>AVERAGE(tbl_SeqLib[Exact])</f>
        <v>#DIV/0!</v>
      </c>
      <c r="P80" s="127">
        <f>MAX(tbl_SeqLib[Exact])</f>
        <v>0</v>
      </c>
      <c r="Q80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0" s="67"/>
      <c r="S80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0" s="43" t="str">
        <f>IF(ISBLANK(#REF!),"",CONCATENATE(exp_id,"_",tbl_SeqLib[[#This Row],[Well]]))</f>
        <v>_F10</v>
      </c>
    </row>
    <row r="81" spans="1:20" ht="15.75" customHeight="1" x14ac:dyDescent="0.3">
      <c r="A81" s="42">
        <v>79</v>
      </c>
      <c r="B81" s="32" t="str">
        <f>RIGHT(tbl_SeqLib[[#This Row],[Well]],LEN(tbl_SeqLib[[#This Row],[Well]])-1)</f>
        <v>10</v>
      </c>
      <c r="C81" s="31" t="s">
        <v>220</v>
      </c>
      <c r="D81" s="18"/>
      <c r="E81" s="19"/>
      <c r="F81" s="18"/>
      <c r="G81" s="78"/>
      <c r="H81" s="25" t="s">
        <v>221</v>
      </c>
      <c r="I81" s="124">
        <f>IF(LEN(tbl_SeqLib[[#This Row],[PCR '[DNA'] (ng / µl)]])&gt;0,1,0)</f>
        <v>0</v>
      </c>
      <c r="J81" s="124">
        <f>IF(LEN(tbl_SeqLib[[#This Row],[Sample ID]])&gt;0,1,0)</f>
        <v>0</v>
      </c>
      <c r="K81" s="124">
        <f>IF(SUMIF(tbl_SeqLib[Column],tbl_SeqLib[[#This Row],[Column]],tbl_SeqLib[DNA conc present])&gt;0,1,0)</f>
        <v>0</v>
      </c>
      <c r="L81" s="124">
        <f>IF(SUM(tbl_SeqLib[[#This Row],[DNA conc present]:[Sample ID present]])&gt;0,1,0)</f>
        <v>0</v>
      </c>
      <c r="M81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1" s="127">
        <f>ROUNDDOWN(_xlfn.MAXIFS(tbl_SeqLib[Exact],tbl_SeqLib[Column],tbl_SeqLib[[#This Row],[Column]]),1)</f>
        <v>0</v>
      </c>
      <c r="O81" s="127" t="e">
        <f>AVERAGE(tbl_SeqLib[Exact])</f>
        <v>#DIV/0!</v>
      </c>
      <c r="P81" s="127">
        <f>MAX(tbl_SeqLib[Exact])</f>
        <v>0</v>
      </c>
      <c r="Q81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1" s="67"/>
      <c r="S81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1" s="43" t="str">
        <f>IF(ISBLANK(#REF!),"",CONCATENATE(exp_id,"_",tbl_SeqLib[[#This Row],[Well]]))</f>
        <v>_G10</v>
      </c>
    </row>
    <row r="82" spans="1:20" ht="15.75" customHeight="1" thickBot="1" x14ac:dyDescent="0.35">
      <c r="A82" s="44">
        <v>80</v>
      </c>
      <c r="B82" s="45" t="str">
        <f>RIGHT(tbl_SeqLib[[#This Row],[Well]],LEN(tbl_SeqLib[[#This Row],[Well]])-1)</f>
        <v>10</v>
      </c>
      <c r="C82" s="51" t="s">
        <v>222</v>
      </c>
      <c r="D82" s="46"/>
      <c r="E82" s="47"/>
      <c r="F82" s="46"/>
      <c r="G82" s="79"/>
      <c r="H82" s="48" t="s">
        <v>223</v>
      </c>
      <c r="I82" s="125">
        <f>IF(LEN(tbl_SeqLib[[#This Row],[PCR '[DNA'] (ng / µl)]])&gt;0,1,0)</f>
        <v>0</v>
      </c>
      <c r="J82" s="125">
        <f>IF(LEN(tbl_SeqLib[[#This Row],[Sample ID]])&gt;0,1,0)</f>
        <v>0</v>
      </c>
      <c r="K82" s="125">
        <f>IF(SUMIF(tbl_SeqLib[Column],tbl_SeqLib[[#This Row],[Column]],tbl_SeqLib[DNA conc present])&gt;0,1,0)</f>
        <v>0</v>
      </c>
      <c r="L82" s="125">
        <f>IF(SUM(tbl_SeqLib[[#This Row],[DNA conc present]:[Sample ID present]])&gt;0,1,0)</f>
        <v>0</v>
      </c>
      <c r="M82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2" s="128">
        <f>ROUNDDOWN(_xlfn.MAXIFS(tbl_SeqLib[Exact],tbl_SeqLib[Column],tbl_SeqLib[[#This Row],[Column]]),1)</f>
        <v>0</v>
      </c>
      <c r="O82" s="128" t="e">
        <f>AVERAGE(tbl_SeqLib[Exact])</f>
        <v>#DIV/0!</v>
      </c>
      <c r="P82" s="128">
        <f>MAX(tbl_SeqLib[Exact])</f>
        <v>0</v>
      </c>
      <c r="Q82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2" s="68"/>
      <c r="S82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2" s="50" t="str">
        <f>IF(ISBLANK(#REF!),"",CONCATENATE(exp_id,"_",tbl_SeqLib[[#This Row],[Well]]))</f>
        <v>_H10</v>
      </c>
    </row>
    <row r="83" spans="1:20" ht="15.75" customHeight="1" x14ac:dyDescent="0.3">
      <c r="A83" s="36">
        <v>81</v>
      </c>
      <c r="B83" s="37" t="str">
        <f>RIGHT(tbl_SeqLib[[#This Row],[Well]],LEN(tbl_SeqLib[[#This Row],[Well]])-1)</f>
        <v>11</v>
      </c>
      <c r="C83" s="37" t="s">
        <v>224</v>
      </c>
      <c r="D83" s="38"/>
      <c r="E83" s="39"/>
      <c r="F83" s="38"/>
      <c r="G83" s="77"/>
      <c r="H83" s="39" t="s">
        <v>225</v>
      </c>
      <c r="I83" s="123">
        <f>IF(LEN(tbl_SeqLib[[#This Row],[PCR '[DNA'] (ng / µl)]])&gt;0,1,0)</f>
        <v>0</v>
      </c>
      <c r="J83" s="123">
        <f>IF(LEN(tbl_SeqLib[[#This Row],[Sample ID]])&gt;0,1,0)</f>
        <v>0</v>
      </c>
      <c r="K83" s="123">
        <f>IF(SUMIF(tbl_SeqLib[Column],tbl_SeqLib[[#This Row],[Column]],tbl_SeqLib[DNA conc present])&gt;0,1,0)</f>
        <v>0</v>
      </c>
      <c r="L83" s="123">
        <f>IF(SUM(tbl_SeqLib[[#This Row],[DNA conc present]:[Sample ID present]])&gt;0,1,0)</f>
        <v>0</v>
      </c>
      <c r="M83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3" s="126">
        <f>ROUNDDOWN(_xlfn.MAXIFS(tbl_SeqLib[Exact],tbl_SeqLib[Column],tbl_SeqLib[[#This Row],[Column]]),1)</f>
        <v>0</v>
      </c>
      <c r="O83" s="126" t="e">
        <f>AVERAGE(tbl_SeqLib[Exact])</f>
        <v>#DIV/0!</v>
      </c>
      <c r="P83" s="126">
        <f>MAX(tbl_SeqLib[Exact])</f>
        <v>0</v>
      </c>
      <c r="Q83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3" s="66"/>
      <c r="S83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3" s="41" t="str">
        <f>IF(ISBLANK(#REF!),"",CONCATENATE(exp_id,"_",tbl_SeqLib[[#This Row],[Well]]))</f>
        <v>_A11</v>
      </c>
    </row>
    <row r="84" spans="1:20" ht="15.75" customHeight="1" x14ac:dyDescent="0.3">
      <c r="A84" s="42">
        <v>82</v>
      </c>
      <c r="B84" s="32" t="str">
        <f>RIGHT(tbl_SeqLib[[#This Row],[Well]],LEN(tbl_SeqLib[[#This Row],[Well]])-1)</f>
        <v>11</v>
      </c>
      <c r="C84" s="31" t="s">
        <v>226</v>
      </c>
      <c r="D84" s="18"/>
      <c r="E84" s="19"/>
      <c r="F84" s="18"/>
      <c r="G84" s="78"/>
      <c r="H84" s="25" t="s">
        <v>227</v>
      </c>
      <c r="I84" s="124">
        <f>IF(LEN(tbl_SeqLib[[#This Row],[PCR '[DNA'] (ng / µl)]])&gt;0,1,0)</f>
        <v>0</v>
      </c>
      <c r="J84" s="124">
        <f>IF(LEN(tbl_SeqLib[[#This Row],[Sample ID]])&gt;0,1,0)</f>
        <v>0</v>
      </c>
      <c r="K84" s="124">
        <f>IF(SUMIF(tbl_SeqLib[Column],tbl_SeqLib[[#This Row],[Column]],tbl_SeqLib[DNA conc present])&gt;0,1,0)</f>
        <v>0</v>
      </c>
      <c r="L84" s="124">
        <f>IF(SUM(tbl_SeqLib[[#This Row],[DNA conc present]:[Sample ID present]])&gt;0,1,0)</f>
        <v>0</v>
      </c>
      <c r="M84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4" s="127">
        <f>ROUNDDOWN(_xlfn.MAXIFS(tbl_SeqLib[Exact],tbl_SeqLib[Column],tbl_SeqLib[[#This Row],[Column]]),1)</f>
        <v>0</v>
      </c>
      <c r="O84" s="127" t="e">
        <f>AVERAGE(tbl_SeqLib[Exact])</f>
        <v>#DIV/0!</v>
      </c>
      <c r="P84" s="127">
        <f>MAX(tbl_SeqLib[Exact])</f>
        <v>0</v>
      </c>
      <c r="Q84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4" s="67"/>
      <c r="S84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4" s="43" t="str">
        <f>IF(ISBLANK(#REF!),"",CONCATENATE(exp_id,"_",tbl_SeqLib[[#This Row],[Well]]))</f>
        <v>_B11</v>
      </c>
    </row>
    <row r="85" spans="1:20" ht="15.75" customHeight="1" x14ac:dyDescent="0.3">
      <c r="A85" s="42">
        <v>83</v>
      </c>
      <c r="B85" s="32" t="str">
        <f>RIGHT(tbl_SeqLib[[#This Row],[Well]],LEN(tbl_SeqLib[[#This Row],[Well]])-1)</f>
        <v>11</v>
      </c>
      <c r="C85" s="31" t="s">
        <v>228</v>
      </c>
      <c r="D85" s="18"/>
      <c r="E85" s="19"/>
      <c r="F85" s="18"/>
      <c r="G85" s="78"/>
      <c r="H85" s="25" t="s">
        <v>229</v>
      </c>
      <c r="I85" s="124">
        <f>IF(LEN(tbl_SeqLib[[#This Row],[PCR '[DNA'] (ng / µl)]])&gt;0,1,0)</f>
        <v>0</v>
      </c>
      <c r="J85" s="124">
        <f>IF(LEN(tbl_SeqLib[[#This Row],[Sample ID]])&gt;0,1,0)</f>
        <v>0</v>
      </c>
      <c r="K85" s="124">
        <f>IF(SUMIF(tbl_SeqLib[Column],tbl_SeqLib[[#This Row],[Column]],tbl_SeqLib[DNA conc present])&gt;0,1,0)</f>
        <v>0</v>
      </c>
      <c r="L85" s="124">
        <f>IF(SUM(tbl_SeqLib[[#This Row],[DNA conc present]:[Sample ID present]])&gt;0,1,0)</f>
        <v>0</v>
      </c>
      <c r="M85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5" s="127">
        <f>ROUNDDOWN(_xlfn.MAXIFS(tbl_SeqLib[Exact],tbl_SeqLib[Column],tbl_SeqLib[[#This Row],[Column]]),1)</f>
        <v>0</v>
      </c>
      <c r="O85" s="127" t="e">
        <f>AVERAGE(tbl_SeqLib[Exact])</f>
        <v>#DIV/0!</v>
      </c>
      <c r="P85" s="127">
        <f>MAX(tbl_SeqLib[Exact])</f>
        <v>0</v>
      </c>
      <c r="Q85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5" s="67"/>
      <c r="S85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5" s="43" t="str">
        <f>IF(ISBLANK(#REF!),"",CONCATENATE(exp_id,"_",tbl_SeqLib[[#This Row],[Well]]))</f>
        <v>_C11</v>
      </c>
    </row>
    <row r="86" spans="1:20" ht="15.75" customHeight="1" x14ac:dyDescent="0.3">
      <c r="A86" s="42">
        <v>84</v>
      </c>
      <c r="B86" s="32" t="str">
        <f>RIGHT(tbl_SeqLib[[#This Row],[Well]],LEN(tbl_SeqLib[[#This Row],[Well]])-1)</f>
        <v>11</v>
      </c>
      <c r="C86" s="31" t="s">
        <v>230</v>
      </c>
      <c r="D86" s="18"/>
      <c r="E86" s="19"/>
      <c r="F86" s="18"/>
      <c r="G86" s="78"/>
      <c r="H86" s="25" t="s">
        <v>231</v>
      </c>
      <c r="I86" s="124">
        <f>IF(LEN(tbl_SeqLib[[#This Row],[PCR '[DNA'] (ng / µl)]])&gt;0,1,0)</f>
        <v>0</v>
      </c>
      <c r="J86" s="124">
        <f>IF(LEN(tbl_SeqLib[[#This Row],[Sample ID]])&gt;0,1,0)</f>
        <v>0</v>
      </c>
      <c r="K86" s="124">
        <f>IF(SUMIF(tbl_SeqLib[Column],tbl_SeqLib[[#This Row],[Column]],tbl_SeqLib[DNA conc present])&gt;0,1,0)</f>
        <v>0</v>
      </c>
      <c r="L86" s="124">
        <f>IF(SUM(tbl_SeqLib[[#This Row],[DNA conc present]:[Sample ID present]])&gt;0,1,0)</f>
        <v>0</v>
      </c>
      <c r="M86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6" s="127">
        <f>ROUNDDOWN(_xlfn.MAXIFS(tbl_SeqLib[Exact],tbl_SeqLib[Column],tbl_SeqLib[[#This Row],[Column]]),1)</f>
        <v>0</v>
      </c>
      <c r="O86" s="127" t="e">
        <f>AVERAGE(tbl_SeqLib[Exact])</f>
        <v>#DIV/0!</v>
      </c>
      <c r="P86" s="127">
        <f>MAX(tbl_SeqLib[Exact])</f>
        <v>0</v>
      </c>
      <c r="Q86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6" s="67"/>
      <c r="S86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6" s="43" t="str">
        <f>IF(ISBLANK(#REF!),"",CONCATENATE(exp_id,"_",tbl_SeqLib[[#This Row],[Well]]))</f>
        <v>_D11</v>
      </c>
    </row>
    <row r="87" spans="1:20" ht="15.75" customHeight="1" x14ac:dyDescent="0.3">
      <c r="A87" s="42">
        <v>85</v>
      </c>
      <c r="B87" s="32" t="str">
        <f>RIGHT(tbl_SeqLib[[#This Row],[Well]],LEN(tbl_SeqLib[[#This Row],[Well]])-1)</f>
        <v>11</v>
      </c>
      <c r="C87" s="31" t="s">
        <v>232</v>
      </c>
      <c r="D87" s="18"/>
      <c r="E87" s="19"/>
      <c r="F87" s="18"/>
      <c r="G87" s="78"/>
      <c r="H87" s="25" t="s">
        <v>233</v>
      </c>
      <c r="I87" s="124">
        <f>IF(LEN(tbl_SeqLib[[#This Row],[PCR '[DNA'] (ng / µl)]])&gt;0,1,0)</f>
        <v>0</v>
      </c>
      <c r="J87" s="124">
        <f>IF(LEN(tbl_SeqLib[[#This Row],[Sample ID]])&gt;0,1,0)</f>
        <v>0</v>
      </c>
      <c r="K87" s="124">
        <f>IF(SUMIF(tbl_SeqLib[Column],tbl_SeqLib[[#This Row],[Column]],tbl_SeqLib[DNA conc present])&gt;0,1,0)</f>
        <v>0</v>
      </c>
      <c r="L87" s="124">
        <f>IF(SUM(tbl_SeqLib[[#This Row],[DNA conc present]:[Sample ID present]])&gt;0,1,0)</f>
        <v>0</v>
      </c>
      <c r="M87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7" s="127">
        <f>ROUNDDOWN(_xlfn.MAXIFS(tbl_SeqLib[Exact],tbl_SeqLib[Column],tbl_SeqLib[[#This Row],[Column]]),1)</f>
        <v>0</v>
      </c>
      <c r="O87" s="127" t="e">
        <f>AVERAGE(tbl_SeqLib[Exact])</f>
        <v>#DIV/0!</v>
      </c>
      <c r="P87" s="127">
        <f>MAX(tbl_SeqLib[Exact])</f>
        <v>0</v>
      </c>
      <c r="Q87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7" s="67"/>
      <c r="S87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7" s="43" t="str">
        <f>IF(ISBLANK(#REF!),"",CONCATENATE(exp_id,"_",tbl_SeqLib[[#This Row],[Well]]))</f>
        <v>_E11</v>
      </c>
    </row>
    <row r="88" spans="1:20" ht="15.75" customHeight="1" x14ac:dyDescent="0.3">
      <c r="A88" s="42">
        <v>86</v>
      </c>
      <c r="B88" s="32" t="str">
        <f>RIGHT(tbl_SeqLib[[#This Row],[Well]],LEN(tbl_SeqLib[[#This Row],[Well]])-1)</f>
        <v>11</v>
      </c>
      <c r="C88" s="31" t="s">
        <v>234</v>
      </c>
      <c r="D88" s="18"/>
      <c r="E88" s="19"/>
      <c r="F88" s="18"/>
      <c r="G88" s="78"/>
      <c r="H88" s="25" t="s">
        <v>235</v>
      </c>
      <c r="I88" s="124">
        <f>IF(LEN(tbl_SeqLib[[#This Row],[PCR '[DNA'] (ng / µl)]])&gt;0,1,0)</f>
        <v>0</v>
      </c>
      <c r="J88" s="124">
        <f>IF(LEN(tbl_SeqLib[[#This Row],[Sample ID]])&gt;0,1,0)</f>
        <v>0</v>
      </c>
      <c r="K88" s="124">
        <f>IF(SUMIF(tbl_SeqLib[Column],tbl_SeqLib[[#This Row],[Column]],tbl_SeqLib[DNA conc present])&gt;0,1,0)</f>
        <v>0</v>
      </c>
      <c r="L88" s="124">
        <f>IF(SUM(tbl_SeqLib[[#This Row],[DNA conc present]:[Sample ID present]])&gt;0,1,0)</f>
        <v>0</v>
      </c>
      <c r="M88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8" s="127">
        <f>ROUNDDOWN(_xlfn.MAXIFS(tbl_SeqLib[Exact],tbl_SeqLib[Column],tbl_SeqLib[[#This Row],[Column]]),1)</f>
        <v>0</v>
      </c>
      <c r="O88" s="127" t="e">
        <f>AVERAGE(tbl_SeqLib[Exact])</f>
        <v>#DIV/0!</v>
      </c>
      <c r="P88" s="127">
        <f>MAX(tbl_SeqLib[Exact])</f>
        <v>0</v>
      </c>
      <c r="Q88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8" s="67"/>
      <c r="S88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8" s="43" t="str">
        <f>IF(ISBLANK(#REF!),"",CONCATENATE(exp_id,"_",tbl_SeqLib[[#This Row],[Well]]))</f>
        <v>_F11</v>
      </c>
    </row>
    <row r="89" spans="1:20" ht="15.75" customHeight="1" x14ac:dyDescent="0.3">
      <c r="A89" s="42">
        <v>87</v>
      </c>
      <c r="B89" s="32" t="str">
        <f>RIGHT(tbl_SeqLib[[#This Row],[Well]],LEN(tbl_SeqLib[[#This Row],[Well]])-1)</f>
        <v>11</v>
      </c>
      <c r="C89" s="31" t="s">
        <v>236</v>
      </c>
      <c r="D89" s="18"/>
      <c r="E89" s="19"/>
      <c r="F89" s="18"/>
      <c r="G89" s="78"/>
      <c r="H89" s="25" t="s">
        <v>237</v>
      </c>
      <c r="I89" s="124">
        <f>IF(LEN(tbl_SeqLib[[#This Row],[PCR '[DNA'] (ng / µl)]])&gt;0,1,0)</f>
        <v>0</v>
      </c>
      <c r="J89" s="124">
        <f>IF(LEN(tbl_SeqLib[[#This Row],[Sample ID]])&gt;0,1,0)</f>
        <v>0</v>
      </c>
      <c r="K89" s="124">
        <f>IF(SUMIF(tbl_SeqLib[Column],tbl_SeqLib[[#This Row],[Column]],tbl_SeqLib[DNA conc present])&gt;0,1,0)</f>
        <v>0</v>
      </c>
      <c r="L89" s="124">
        <f>IF(SUM(tbl_SeqLib[[#This Row],[DNA conc present]:[Sample ID present]])&gt;0,1,0)</f>
        <v>0</v>
      </c>
      <c r="M89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89" s="127">
        <f>ROUNDDOWN(_xlfn.MAXIFS(tbl_SeqLib[Exact],tbl_SeqLib[Column],tbl_SeqLib[[#This Row],[Column]]),1)</f>
        <v>0</v>
      </c>
      <c r="O89" s="127" t="e">
        <f>AVERAGE(tbl_SeqLib[Exact])</f>
        <v>#DIV/0!</v>
      </c>
      <c r="P89" s="127">
        <f>MAX(tbl_SeqLib[Exact])</f>
        <v>0</v>
      </c>
      <c r="Q89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89" s="67"/>
      <c r="S89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89" s="43" t="str">
        <f>IF(ISBLANK(#REF!),"",CONCATENATE(exp_id,"_",tbl_SeqLib[[#This Row],[Well]]))</f>
        <v>_G11</v>
      </c>
    </row>
    <row r="90" spans="1:20" ht="15.75" customHeight="1" thickBot="1" x14ac:dyDescent="0.35">
      <c r="A90" s="44">
        <v>88</v>
      </c>
      <c r="B90" s="45" t="str">
        <f>RIGHT(tbl_SeqLib[[#This Row],[Well]],LEN(tbl_SeqLib[[#This Row],[Well]])-1)</f>
        <v>11</v>
      </c>
      <c r="C90" s="51" t="s">
        <v>238</v>
      </c>
      <c r="D90" s="46"/>
      <c r="E90" s="47"/>
      <c r="F90" s="46"/>
      <c r="G90" s="79"/>
      <c r="H90" s="48" t="s">
        <v>239</v>
      </c>
      <c r="I90" s="125">
        <f>IF(LEN(tbl_SeqLib[[#This Row],[PCR '[DNA'] (ng / µl)]])&gt;0,1,0)</f>
        <v>0</v>
      </c>
      <c r="J90" s="125">
        <f>IF(LEN(tbl_SeqLib[[#This Row],[Sample ID]])&gt;0,1,0)</f>
        <v>0</v>
      </c>
      <c r="K90" s="125">
        <f>IF(SUMIF(tbl_SeqLib[Column],tbl_SeqLib[[#This Row],[Column]],tbl_SeqLib[DNA conc present])&gt;0,1,0)</f>
        <v>0</v>
      </c>
      <c r="L90" s="125">
        <f>IF(SUM(tbl_SeqLib[[#This Row],[DNA conc present]:[Sample ID present]])&gt;0,1,0)</f>
        <v>0</v>
      </c>
      <c r="M90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0" s="128">
        <f>ROUNDDOWN(_xlfn.MAXIFS(tbl_SeqLib[Exact],tbl_SeqLib[Column],tbl_SeqLib[[#This Row],[Column]]),1)</f>
        <v>0</v>
      </c>
      <c r="O90" s="128" t="e">
        <f>AVERAGE(tbl_SeqLib[Exact])</f>
        <v>#DIV/0!</v>
      </c>
      <c r="P90" s="128">
        <f>MAX(tbl_SeqLib[Exact])</f>
        <v>0</v>
      </c>
      <c r="Q90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0" s="68"/>
      <c r="S90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0" s="50" t="str">
        <f>IF(ISBLANK(#REF!),"",CONCATENATE(exp_id,"_",tbl_SeqLib[[#This Row],[Well]]))</f>
        <v>_H11</v>
      </c>
    </row>
    <row r="91" spans="1:20" ht="15.75" customHeight="1" x14ac:dyDescent="0.3">
      <c r="A91" s="36">
        <v>89</v>
      </c>
      <c r="B91" s="37" t="str">
        <f>RIGHT(tbl_SeqLib[[#This Row],[Well]],LEN(tbl_SeqLib[[#This Row],[Well]])-1)</f>
        <v>12</v>
      </c>
      <c r="C91" s="37" t="s">
        <v>240</v>
      </c>
      <c r="D91" s="38"/>
      <c r="E91" s="39"/>
      <c r="F91" s="38"/>
      <c r="G91" s="77"/>
      <c r="H91" s="39" t="s">
        <v>241</v>
      </c>
      <c r="I91" s="123">
        <f>IF(LEN(tbl_SeqLib[[#This Row],[PCR '[DNA'] (ng / µl)]])&gt;0,1,0)</f>
        <v>0</v>
      </c>
      <c r="J91" s="123">
        <f>IF(LEN(tbl_SeqLib[[#This Row],[Sample ID]])&gt;0,1,0)</f>
        <v>0</v>
      </c>
      <c r="K91" s="123">
        <f>IF(SUMIF(tbl_SeqLib[Column],tbl_SeqLib[[#This Row],[Column]],tbl_SeqLib[DNA conc present])&gt;0,1,0)</f>
        <v>0</v>
      </c>
      <c r="L91" s="123">
        <f>IF(SUM(tbl_SeqLib[[#This Row],[DNA conc present]:[Sample ID present]])&gt;0,1,0)</f>
        <v>0</v>
      </c>
      <c r="M91" s="126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1" s="126">
        <f>ROUNDDOWN(_xlfn.MAXIFS(tbl_SeqLib[Exact],tbl_SeqLib[Column],tbl_SeqLib[[#This Row],[Column]]),1)</f>
        <v>0</v>
      </c>
      <c r="O91" s="126" t="e">
        <f>AVERAGE(tbl_SeqLib[Exact])</f>
        <v>#DIV/0!</v>
      </c>
      <c r="P91" s="126">
        <f>MAX(tbl_SeqLib[Exact])</f>
        <v>0</v>
      </c>
      <c r="Q91" s="126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1" s="66"/>
      <c r="S91" s="4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1" s="41" t="str">
        <f>IF(ISBLANK(#REF!),"",CONCATENATE(exp_id,"_",tbl_SeqLib[[#This Row],[Well]]))</f>
        <v>_A12</v>
      </c>
    </row>
    <row r="92" spans="1:20" ht="15.75" customHeight="1" x14ac:dyDescent="0.3">
      <c r="A92" s="42">
        <v>90</v>
      </c>
      <c r="B92" s="32" t="str">
        <f>RIGHT(tbl_SeqLib[[#This Row],[Well]],LEN(tbl_SeqLib[[#This Row],[Well]])-1)</f>
        <v>12</v>
      </c>
      <c r="C92" s="31" t="s">
        <v>242</v>
      </c>
      <c r="D92" s="18"/>
      <c r="E92" s="19"/>
      <c r="F92" s="18"/>
      <c r="G92" s="78"/>
      <c r="H92" s="25" t="s">
        <v>243</v>
      </c>
      <c r="I92" s="124">
        <f>IF(LEN(tbl_SeqLib[[#This Row],[PCR '[DNA'] (ng / µl)]])&gt;0,1,0)</f>
        <v>0</v>
      </c>
      <c r="J92" s="124">
        <f>IF(LEN(tbl_SeqLib[[#This Row],[Sample ID]])&gt;0,1,0)</f>
        <v>0</v>
      </c>
      <c r="K92" s="124">
        <f>IF(SUMIF(tbl_SeqLib[Column],tbl_SeqLib[[#This Row],[Column]],tbl_SeqLib[DNA conc present])&gt;0,1,0)</f>
        <v>0</v>
      </c>
      <c r="L92" s="124">
        <f>IF(SUM(tbl_SeqLib[[#This Row],[DNA conc present]:[Sample ID present]])&gt;0,1,0)</f>
        <v>0</v>
      </c>
      <c r="M92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2" s="127">
        <f>ROUNDDOWN(_xlfn.MAXIFS(tbl_SeqLib[Exact],tbl_SeqLib[Column],tbl_SeqLib[[#This Row],[Column]]),1)</f>
        <v>0</v>
      </c>
      <c r="O92" s="127" t="e">
        <f>AVERAGE(tbl_SeqLib[Exact])</f>
        <v>#DIV/0!</v>
      </c>
      <c r="P92" s="127">
        <f>MAX(tbl_SeqLib[Exact])</f>
        <v>0</v>
      </c>
      <c r="Q92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2" s="67"/>
      <c r="S92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2" s="43" t="str">
        <f>IF(ISBLANK(#REF!),"",CONCATENATE(exp_id,"_",tbl_SeqLib[[#This Row],[Well]]))</f>
        <v>_B12</v>
      </c>
    </row>
    <row r="93" spans="1:20" ht="15.75" customHeight="1" x14ac:dyDescent="0.3">
      <c r="A93" s="42">
        <v>91</v>
      </c>
      <c r="B93" s="32" t="str">
        <f>RIGHT(tbl_SeqLib[[#This Row],[Well]],LEN(tbl_SeqLib[[#This Row],[Well]])-1)</f>
        <v>12</v>
      </c>
      <c r="C93" s="31" t="s">
        <v>244</v>
      </c>
      <c r="D93" s="18"/>
      <c r="E93" s="19"/>
      <c r="F93" s="18"/>
      <c r="G93" s="78"/>
      <c r="H93" s="25" t="s">
        <v>245</v>
      </c>
      <c r="I93" s="124">
        <f>IF(LEN(tbl_SeqLib[[#This Row],[PCR '[DNA'] (ng / µl)]])&gt;0,1,0)</f>
        <v>0</v>
      </c>
      <c r="J93" s="124">
        <f>IF(LEN(tbl_SeqLib[[#This Row],[Sample ID]])&gt;0,1,0)</f>
        <v>0</v>
      </c>
      <c r="K93" s="124">
        <f>IF(SUMIF(tbl_SeqLib[Column],tbl_SeqLib[[#This Row],[Column]],tbl_SeqLib[DNA conc present])&gt;0,1,0)</f>
        <v>0</v>
      </c>
      <c r="L93" s="124">
        <f>IF(SUM(tbl_SeqLib[[#This Row],[DNA conc present]:[Sample ID present]])&gt;0,1,0)</f>
        <v>0</v>
      </c>
      <c r="M93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3" s="127">
        <f>ROUNDDOWN(_xlfn.MAXIFS(tbl_SeqLib[Exact],tbl_SeqLib[Column],tbl_SeqLib[[#This Row],[Column]]),1)</f>
        <v>0</v>
      </c>
      <c r="O93" s="127" t="e">
        <f>AVERAGE(tbl_SeqLib[Exact])</f>
        <v>#DIV/0!</v>
      </c>
      <c r="P93" s="127">
        <f>MAX(tbl_SeqLib[Exact])</f>
        <v>0</v>
      </c>
      <c r="Q93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3" s="67"/>
      <c r="S93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3" s="43" t="str">
        <f>IF(ISBLANK(#REF!),"",CONCATENATE(exp_id,"_",tbl_SeqLib[[#This Row],[Well]]))</f>
        <v>_C12</v>
      </c>
    </row>
    <row r="94" spans="1:20" ht="15.75" customHeight="1" x14ac:dyDescent="0.3">
      <c r="A94" s="42">
        <v>92</v>
      </c>
      <c r="B94" s="32" t="str">
        <f>RIGHT(tbl_SeqLib[[#This Row],[Well]],LEN(tbl_SeqLib[[#This Row],[Well]])-1)</f>
        <v>12</v>
      </c>
      <c r="C94" s="31" t="s">
        <v>246</v>
      </c>
      <c r="D94" s="18"/>
      <c r="E94" s="19"/>
      <c r="F94" s="18"/>
      <c r="G94" s="78"/>
      <c r="H94" s="25" t="s">
        <v>247</v>
      </c>
      <c r="I94" s="124">
        <f>IF(LEN(tbl_SeqLib[[#This Row],[PCR '[DNA'] (ng / µl)]])&gt;0,1,0)</f>
        <v>0</v>
      </c>
      <c r="J94" s="124">
        <f>IF(LEN(tbl_SeqLib[[#This Row],[Sample ID]])&gt;0,1,0)</f>
        <v>0</v>
      </c>
      <c r="K94" s="124">
        <f>IF(SUMIF(tbl_SeqLib[Column],tbl_SeqLib[[#This Row],[Column]],tbl_SeqLib[DNA conc present])&gt;0,1,0)</f>
        <v>0</v>
      </c>
      <c r="L94" s="124">
        <f>IF(SUM(tbl_SeqLib[[#This Row],[DNA conc present]:[Sample ID present]])&gt;0,1,0)</f>
        <v>0</v>
      </c>
      <c r="M94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4" s="127">
        <f>ROUNDDOWN(_xlfn.MAXIFS(tbl_SeqLib[Exact],tbl_SeqLib[Column],tbl_SeqLib[[#This Row],[Column]]),1)</f>
        <v>0</v>
      </c>
      <c r="O94" s="127" t="e">
        <f>AVERAGE(tbl_SeqLib[Exact])</f>
        <v>#DIV/0!</v>
      </c>
      <c r="P94" s="127">
        <f>MAX(tbl_SeqLib[Exact])</f>
        <v>0</v>
      </c>
      <c r="Q94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4" s="67"/>
      <c r="S94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4" s="43" t="str">
        <f>IF(ISBLANK(#REF!),"",CONCATENATE(exp_id,"_",tbl_SeqLib[[#This Row],[Well]]))</f>
        <v>_D12</v>
      </c>
    </row>
    <row r="95" spans="1:20" ht="15.75" customHeight="1" x14ac:dyDescent="0.3">
      <c r="A95" s="42">
        <v>93</v>
      </c>
      <c r="B95" s="32" t="str">
        <f>RIGHT(tbl_SeqLib[[#This Row],[Well]],LEN(tbl_SeqLib[[#This Row],[Well]])-1)</f>
        <v>12</v>
      </c>
      <c r="C95" s="31" t="s">
        <v>248</v>
      </c>
      <c r="D95" s="18"/>
      <c r="E95" s="19"/>
      <c r="F95" s="18"/>
      <c r="G95" s="78"/>
      <c r="H95" s="25" t="s">
        <v>249</v>
      </c>
      <c r="I95" s="124">
        <f>IF(LEN(tbl_SeqLib[[#This Row],[PCR '[DNA'] (ng / µl)]])&gt;0,1,0)</f>
        <v>0</v>
      </c>
      <c r="J95" s="124">
        <f>IF(LEN(tbl_SeqLib[[#This Row],[Sample ID]])&gt;0,1,0)</f>
        <v>0</v>
      </c>
      <c r="K95" s="124">
        <f>IF(SUMIF(tbl_SeqLib[Column],tbl_SeqLib[[#This Row],[Column]],tbl_SeqLib[DNA conc present])&gt;0,1,0)</f>
        <v>0</v>
      </c>
      <c r="L95" s="124">
        <f>IF(SUM(tbl_SeqLib[[#This Row],[DNA conc present]:[Sample ID present]])&gt;0,1,0)</f>
        <v>0</v>
      </c>
      <c r="M95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5" s="127">
        <f>ROUNDDOWN(_xlfn.MAXIFS(tbl_SeqLib[Exact],tbl_SeqLib[Column],tbl_SeqLib[[#This Row],[Column]]),1)</f>
        <v>0</v>
      </c>
      <c r="O95" s="127" t="e">
        <f>AVERAGE(tbl_SeqLib[Exact])</f>
        <v>#DIV/0!</v>
      </c>
      <c r="P95" s="127">
        <f>MAX(tbl_SeqLib[Exact])</f>
        <v>0</v>
      </c>
      <c r="Q95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5" s="67"/>
      <c r="S95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5" s="43" t="str">
        <f>IF(ISBLANK(#REF!),"",CONCATENATE(exp_id,"_",tbl_SeqLib[[#This Row],[Well]]))</f>
        <v>_E12</v>
      </c>
    </row>
    <row r="96" spans="1:20" ht="15.75" customHeight="1" x14ac:dyDescent="0.3">
      <c r="A96" s="42">
        <v>94</v>
      </c>
      <c r="B96" s="32" t="str">
        <f>RIGHT(tbl_SeqLib[[#This Row],[Well]],LEN(tbl_SeqLib[[#This Row],[Well]])-1)</f>
        <v>12</v>
      </c>
      <c r="C96" s="31" t="s">
        <v>250</v>
      </c>
      <c r="D96" s="18"/>
      <c r="E96" s="19"/>
      <c r="F96" s="18"/>
      <c r="G96" s="78"/>
      <c r="H96" s="25" t="s">
        <v>251</v>
      </c>
      <c r="I96" s="124">
        <f>IF(LEN(tbl_SeqLib[[#This Row],[PCR '[DNA'] (ng / µl)]])&gt;0,1,0)</f>
        <v>0</v>
      </c>
      <c r="J96" s="124">
        <f>IF(LEN(tbl_SeqLib[[#This Row],[Sample ID]])&gt;0,1,0)</f>
        <v>0</v>
      </c>
      <c r="K96" s="124">
        <f>IF(SUMIF(tbl_SeqLib[Column],tbl_SeqLib[[#This Row],[Column]],tbl_SeqLib[DNA conc present])&gt;0,1,0)</f>
        <v>0</v>
      </c>
      <c r="L96" s="124">
        <f>IF(SUM(tbl_SeqLib[[#This Row],[DNA conc present]:[Sample ID present]])&gt;0,1,0)</f>
        <v>0</v>
      </c>
      <c r="M96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6" s="127">
        <f>ROUNDDOWN(_xlfn.MAXIFS(tbl_SeqLib[Exact],tbl_SeqLib[Column],tbl_SeqLib[[#This Row],[Column]]),1)</f>
        <v>0</v>
      </c>
      <c r="O96" s="127" t="e">
        <f>AVERAGE(tbl_SeqLib[Exact])</f>
        <v>#DIV/0!</v>
      </c>
      <c r="P96" s="127">
        <f>MAX(tbl_SeqLib[Exact])</f>
        <v>0</v>
      </c>
      <c r="Q96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6" s="67"/>
      <c r="S96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6" s="43" t="str">
        <f>IF(ISBLANK(#REF!),"",CONCATENATE(exp_id,"_",tbl_SeqLib[[#This Row],[Well]]))</f>
        <v>_F12</v>
      </c>
    </row>
    <row r="97" spans="1:20" ht="15.75" customHeight="1" x14ac:dyDescent="0.3">
      <c r="A97" s="42">
        <v>95</v>
      </c>
      <c r="B97" s="32" t="str">
        <f>RIGHT(tbl_SeqLib[[#This Row],[Well]],LEN(tbl_SeqLib[[#This Row],[Well]])-1)</f>
        <v>12</v>
      </c>
      <c r="C97" s="31" t="s">
        <v>252</v>
      </c>
      <c r="D97" s="18"/>
      <c r="E97" s="19"/>
      <c r="F97" s="18"/>
      <c r="G97" s="78"/>
      <c r="H97" s="25" t="s">
        <v>253</v>
      </c>
      <c r="I97" s="124">
        <f>IF(LEN(tbl_SeqLib[[#This Row],[PCR '[DNA'] (ng / µl)]])&gt;0,1,0)</f>
        <v>0</v>
      </c>
      <c r="J97" s="124">
        <f>IF(LEN(tbl_SeqLib[[#This Row],[Sample ID]])&gt;0,1,0)</f>
        <v>0</v>
      </c>
      <c r="K97" s="124">
        <f>IF(SUMIF(tbl_SeqLib[Column],tbl_SeqLib[[#This Row],[Column]],tbl_SeqLib[DNA conc present])&gt;0,1,0)</f>
        <v>0</v>
      </c>
      <c r="L97" s="124">
        <f>IF(SUM(tbl_SeqLib[[#This Row],[DNA conc present]:[Sample ID present]])&gt;0,1,0)</f>
        <v>0</v>
      </c>
      <c r="M97" s="127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7" s="127">
        <f>ROUNDDOWN(_xlfn.MAXIFS(tbl_SeqLib[Exact],tbl_SeqLib[Column],tbl_SeqLib[[#This Row],[Column]]),1)</f>
        <v>0</v>
      </c>
      <c r="O97" s="127" t="e">
        <f>AVERAGE(tbl_SeqLib[Exact])</f>
        <v>#DIV/0!</v>
      </c>
      <c r="P97" s="127">
        <f>MAX(tbl_SeqLib[Exact])</f>
        <v>0</v>
      </c>
      <c r="Q97" s="127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7" s="67"/>
      <c r="S97" s="30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7" s="43" t="str">
        <f>IF(ISBLANK(#REF!),"",CONCATENATE(exp_id,"_",tbl_SeqLib[[#This Row],[Well]]))</f>
        <v>_G12</v>
      </c>
    </row>
    <row r="98" spans="1:20" ht="15.75" customHeight="1" thickBot="1" x14ac:dyDescent="0.35">
      <c r="A98" s="44">
        <v>96</v>
      </c>
      <c r="B98" s="45" t="str">
        <f>RIGHT(tbl_SeqLib[[#This Row],[Well]],LEN(tbl_SeqLib[[#This Row],[Well]])-1)</f>
        <v>12</v>
      </c>
      <c r="C98" s="51" t="s">
        <v>254</v>
      </c>
      <c r="D98" s="46"/>
      <c r="E98" s="47"/>
      <c r="F98" s="46"/>
      <c r="G98" s="79"/>
      <c r="H98" s="48" t="s">
        <v>255</v>
      </c>
      <c r="I98" s="125">
        <f>IF(LEN(tbl_SeqLib[[#This Row],[PCR '[DNA'] (ng / µl)]])&gt;0,1,0)</f>
        <v>0</v>
      </c>
      <c r="J98" s="125">
        <f>IF(LEN(tbl_SeqLib[[#This Row],[Sample ID]])&gt;0,1,0)</f>
        <v>0</v>
      </c>
      <c r="K98" s="125">
        <f>IF(SUMIF(tbl_SeqLib[Column],tbl_SeqLib[[#This Row],[Column]],tbl_SeqLib[DNA conc present])&gt;0,1,0)</f>
        <v>0</v>
      </c>
      <c r="L98" s="125">
        <f>IF(SUM(tbl_SeqLib[[#This Row],[DNA conc present]:[Sample ID present]])&gt;0,1,0)</f>
        <v>0</v>
      </c>
      <c r="M98" s="128" t="str">
        <f>IF(LEN(tbl_SeqLib[[#This Row],[PCR '[DNA'] (ng / µl)]])=0,"",IF(endrepair_targetmass/tbl_SeqLib[[#This Row],[PCR '[DNA'] (ng / µl)]]&gt;endrepair_maxvol,endrepair_maxvol,ROUNDUP(SUM(endrepair_targetmass/tbl_SeqLib[[#This Row],[PCR '[DNA'] (ng / µl)]]),1)))</f>
        <v/>
      </c>
      <c r="N98" s="128">
        <f>ROUNDDOWN(_xlfn.MAXIFS(tbl_SeqLib[Exact],tbl_SeqLib[Column],tbl_SeqLib[[#This Row],[Column]]),1)</f>
        <v>0</v>
      </c>
      <c r="O98" s="128" t="e">
        <f>AVERAGE(tbl_SeqLib[Exact])</f>
        <v>#DIV/0!</v>
      </c>
      <c r="P98" s="128">
        <f>MAX(tbl_SeqLib[Exact])</f>
        <v>0</v>
      </c>
      <c r="Q98" s="128" t="str">
        <f>IF(AND(tbl_SeqLib[[#This Row],[Calculate]],LEN(tbl_SeqLib[[#This Row],[PCR product (µl) added (if different from calculated)]])=0),IF(vol_calc=Reference!$E$39,tbl_SeqLib[[#This Row],[Max per plate]],IF(vol_calc=Reference!$E$40,tbl_SeqLib[[#This Row],[Avg per plate]],IF(vol_calc=Reference!$E$38,tbl_SeqLib[[#This Row],[Max for col]],"ERROR"))),"")</f>
        <v/>
      </c>
      <c r="R98" s="68"/>
      <c r="S98" s="49" t="str">
        <f>IF(tbl_SeqLib[[#This Row],[Calculate]]=0,"",SUM(endrepair_maxvol-IF(tbl_SeqLib[[#This Row],[PCR product (µl) added (if different from calculated)]]&gt;0,tbl_SeqLib[[#This Row],[PCR product (µl) added (if different from calculated)]],tbl_SeqLib[[#This Row],[PCR product (µl) to add for end-repair (calculated)]])))</f>
        <v/>
      </c>
      <c r="T98" s="50" t="str">
        <f>IF(ISBLANK(#REF!),"",CONCATENATE(exp_id,"_",tbl_SeqLib[[#This Row],[Well]]))</f>
        <v>_H12</v>
      </c>
    </row>
    <row r="99" spans="1:20" s="21" customFormat="1" ht="94.5" customHeight="1" x14ac:dyDescent="0.3">
      <c r="A99" s="20"/>
      <c r="B99" s="20"/>
      <c r="C99" s="20"/>
      <c r="D99" s="20"/>
      <c r="E99" s="20"/>
      <c r="F99" s="20"/>
    </row>
    <row r="100" spans="1:20" x14ac:dyDescent="0.3">
      <c r="A100" s="3"/>
      <c r="B100" s="3"/>
      <c r="C100" s="3"/>
      <c r="D100" s="3"/>
      <c r="E100" s="3"/>
    </row>
    <row r="101" spans="1:20" x14ac:dyDescent="0.3">
      <c r="A101" s="3"/>
      <c r="B101" s="3"/>
      <c r="C101" s="3"/>
      <c r="D101" s="3"/>
      <c r="E101" s="3"/>
    </row>
    <row r="102" spans="1:20" x14ac:dyDescent="0.3">
      <c r="A102" s="3"/>
      <c r="B102" s="3"/>
      <c r="C102" s="3"/>
      <c r="D102" s="3"/>
      <c r="E102" s="3"/>
    </row>
    <row r="103" spans="1:20" x14ac:dyDescent="0.3">
      <c r="A103" s="3"/>
      <c r="B103" s="3"/>
      <c r="C103" s="3"/>
      <c r="D103" s="3"/>
      <c r="E103" s="3"/>
    </row>
    <row r="104" spans="1:20" x14ac:dyDescent="0.3">
      <c r="A104" s="3"/>
      <c r="B104" s="3"/>
      <c r="C104" s="3"/>
      <c r="D104" s="3"/>
      <c r="E104" s="3"/>
    </row>
    <row r="105" spans="1:20" x14ac:dyDescent="0.3">
      <c r="A105" s="3"/>
      <c r="B105" s="3"/>
      <c r="C105" s="3"/>
      <c r="D105" s="3"/>
      <c r="E105" s="3"/>
    </row>
    <row r="106" spans="1:20" x14ac:dyDescent="0.3">
      <c r="A106" s="3"/>
      <c r="B106" s="3"/>
      <c r="C106" s="3"/>
      <c r="D106" s="3"/>
      <c r="E106" s="3"/>
    </row>
    <row r="107" spans="1:20" x14ac:dyDescent="0.3">
      <c r="A107" s="3"/>
      <c r="B107" s="3"/>
      <c r="C107" s="3"/>
      <c r="D107" s="3"/>
      <c r="E107" s="3"/>
    </row>
    <row r="108" spans="1:20" x14ac:dyDescent="0.3">
      <c r="A108" s="3"/>
      <c r="B108" s="3"/>
      <c r="C108" s="3"/>
      <c r="D108" s="3"/>
      <c r="E108" s="3"/>
    </row>
    <row r="109" spans="1:20" x14ac:dyDescent="0.3">
      <c r="A109" s="3"/>
      <c r="B109" s="3"/>
      <c r="C109" s="3"/>
      <c r="D109" s="3"/>
      <c r="E109" s="3"/>
    </row>
    <row r="110" spans="1:20" x14ac:dyDescent="0.3">
      <c r="A110" s="3"/>
      <c r="B110" s="3"/>
      <c r="C110" s="3"/>
      <c r="D110" s="3"/>
      <c r="E110" s="3"/>
    </row>
    <row r="111" spans="1:20" x14ac:dyDescent="0.3">
      <c r="A111" s="3"/>
      <c r="B111" s="3"/>
      <c r="C111" s="3"/>
      <c r="D111" s="3"/>
      <c r="E111" s="3"/>
    </row>
  </sheetData>
  <sheetProtection formatColumns="0"/>
  <mergeCells count="2">
    <mergeCell ref="D1:F1"/>
    <mergeCell ref="H1:T1"/>
  </mergeCells>
  <phoneticPr fontId="15" type="noConversion"/>
  <conditionalFormatting sqref="D3:H98">
    <cfRule type="expression" dxfId="2" priority="1" stopIfTrue="1">
      <formula>COUNTIF(D3,"")</formula>
    </cfRule>
  </conditionalFormatting>
  <conditionalFormatting sqref="G3:G98">
    <cfRule type="cellIs" dxfId="1" priority="3" operator="greaterThanOrEqual">
      <formula>Post_PCR_target_DNA_conc</formula>
    </cfRule>
    <cfRule type="cellIs" dxfId="0" priority="5" operator="between">
      <formula>0</formula>
      <formula>Post_PCR_target_DNA_conc</formula>
    </cfRule>
  </conditionalFormatting>
  <dataValidations count="2">
    <dataValidation type="textLength" errorStyle="warning" operator="greaterThan" allowBlank="1" showErrorMessage="1" error="The Extraction ID cannot be left blank." prompt="Enter the Extraction ID" sqref="D3:E98" xr:uid="{00000000-0002-0000-0100-000000000000}">
      <formula1>0</formula1>
      <formula2>0</formula2>
    </dataValidation>
    <dataValidation type="decimal" allowBlank="1" showInputMessage="1" showErrorMessage="1" errorTitle="Inconsistent value" error="The entry in this column should be a number that is greater than 0 and less than the max volume allowed for this step." sqref="R3:R98" xr:uid="{2A9AA8ED-9AE0-4469-98D1-1A53ECAE8FAF}">
      <formula1>0</formula1>
      <formula2>endrepair_maxvol</formula2>
    </dataValidation>
  </dataValidations>
  <pageMargins left="0.23611111111111099" right="0.23611111111111099" top="0.74791666666666701" bottom="0.74791666666666701" header="0.511811023622047" footer="0.511811023622047"/>
  <pageSetup paperSize="9" fitToHeight="2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E3D491-2C2B-4D8B-8E3A-EF290DD37CC5}">
          <x14:formula1>
            <xm:f>Reference!$E$56:$E$58</xm:f>
          </x14:formula1>
          <xm:sqref>F3:F98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Q62"/>
  <sheetViews>
    <sheetView tabSelected="1" topLeftCell="A9" zoomScaleNormal="100" workbookViewId="0">
      <selection activeCell="B22" sqref="B22"/>
    </sheetView>
  </sheetViews>
  <sheetFormatPr defaultColWidth="8.59765625" defaultRowHeight="15.6" x14ac:dyDescent="0.3"/>
  <cols>
    <col min="1" max="1" width="34.19921875" customWidth="1"/>
    <col min="2" max="2" width="22.09765625" customWidth="1"/>
    <col min="3" max="3" width="33" customWidth="1"/>
    <col min="5" max="6" width="20" customWidth="1"/>
    <col min="7" max="8" width="5.09765625" customWidth="1"/>
    <col min="9" max="9" width="19.69921875" customWidth="1"/>
    <col min="10" max="10" width="8.69921875" customWidth="1"/>
    <col min="11" max="11" width="5.5" customWidth="1"/>
    <col min="12" max="12" width="22.59765625" customWidth="1"/>
    <col min="14" max="14" width="17.69921875" customWidth="1"/>
    <col min="15" max="15" width="28.8984375" customWidth="1"/>
  </cols>
  <sheetData>
    <row r="1" spans="1:6" ht="46.2" x14ac:dyDescent="0.85">
      <c r="A1" s="28" t="s">
        <v>292</v>
      </c>
      <c r="B1" s="73"/>
    </row>
    <row r="2" spans="1:6" ht="33.6" x14ac:dyDescent="0.65">
      <c r="A2" s="71" t="s">
        <v>362</v>
      </c>
      <c r="B2" s="73"/>
    </row>
    <row r="3" spans="1:6" ht="33.6" x14ac:dyDescent="0.65">
      <c r="A3" s="71" t="s">
        <v>357</v>
      </c>
      <c r="B3" s="73"/>
    </row>
    <row r="4" spans="1:6" ht="33.6" x14ac:dyDescent="0.65">
      <c r="A4" s="71"/>
      <c r="B4" s="73"/>
    </row>
    <row r="5" spans="1:6" ht="33.6" x14ac:dyDescent="0.65">
      <c r="A5" s="74" t="s">
        <v>293</v>
      </c>
      <c r="B5" s="73"/>
    </row>
    <row r="6" spans="1:6" ht="31.2" x14ac:dyDescent="0.6">
      <c r="A6" s="29" t="s">
        <v>358</v>
      </c>
      <c r="B6" s="73"/>
    </row>
    <row r="7" spans="1:6" ht="33.6" x14ac:dyDescent="0.65">
      <c r="A7" s="72" t="s">
        <v>359</v>
      </c>
      <c r="B7" s="73"/>
    </row>
    <row r="8" spans="1:6" ht="33.6" x14ac:dyDescent="0.65">
      <c r="A8" s="71" t="s">
        <v>360</v>
      </c>
      <c r="B8" s="73"/>
    </row>
    <row r="14" spans="1:6" ht="46.2" x14ac:dyDescent="0.85">
      <c r="A14" s="28" t="s">
        <v>361</v>
      </c>
    </row>
    <row r="15" spans="1:6" ht="18" x14ac:dyDescent="0.35">
      <c r="A15" s="56" t="s">
        <v>256</v>
      </c>
      <c r="C15" s="22"/>
      <c r="D15" s="22"/>
      <c r="E15" s="56" t="s">
        <v>257</v>
      </c>
      <c r="F15" s="56"/>
    </row>
    <row r="16" spans="1:6" ht="16.2" thickBot="1" x14ac:dyDescent="0.35">
      <c r="A16" s="57" t="s">
        <v>258</v>
      </c>
      <c r="B16" s="58"/>
      <c r="C16" s="58"/>
      <c r="E16" s="58" t="s">
        <v>259</v>
      </c>
      <c r="F16" s="59"/>
    </row>
    <row r="17" spans="1:17" x14ac:dyDescent="0.3">
      <c r="A17" s="14" t="s">
        <v>261</v>
      </c>
      <c r="B17" s="33">
        <v>10</v>
      </c>
      <c r="C17" t="s">
        <v>262</v>
      </c>
      <c r="D17" s="22"/>
      <c r="E17" t="s">
        <v>260</v>
      </c>
    </row>
    <row r="18" spans="1:17" x14ac:dyDescent="0.3">
      <c r="A18" s="14" t="s">
        <v>264</v>
      </c>
      <c r="B18">
        <f>IF(adaptlig_rxn_vol=100,65,30)</f>
        <v>30</v>
      </c>
      <c r="C18" t="s">
        <v>262</v>
      </c>
      <c r="D18" s="22"/>
      <c r="E18" t="s">
        <v>263</v>
      </c>
    </row>
    <row r="19" spans="1:17" x14ac:dyDescent="0.3">
      <c r="A19" s="14" t="s">
        <v>265</v>
      </c>
      <c r="B19" s="33">
        <v>12</v>
      </c>
      <c r="C19" t="s">
        <v>262</v>
      </c>
    </row>
    <row r="20" spans="1:17" ht="16.2" thickBot="1" x14ac:dyDescent="0.35">
      <c r="A20" s="14" t="s">
        <v>349</v>
      </c>
      <c r="B20">
        <f>ROUND(SUM(flowcell_targetmass/flowcell_maxvol),0)</f>
        <v>67</v>
      </c>
      <c r="C20" t="s">
        <v>350</v>
      </c>
      <c r="E20" s="58" t="s">
        <v>291</v>
      </c>
      <c r="F20" s="59"/>
    </row>
    <row r="21" spans="1:17" x14ac:dyDescent="0.3">
      <c r="A21" t="s">
        <v>351</v>
      </c>
      <c r="B21">
        <v>30</v>
      </c>
      <c r="C21" s="70" t="s">
        <v>350</v>
      </c>
      <c r="E21">
        <v>100</v>
      </c>
    </row>
    <row r="22" spans="1:17" x14ac:dyDescent="0.3">
      <c r="A22" s="14" t="s">
        <v>301</v>
      </c>
      <c r="B22" s="34" t="s">
        <v>326</v>
      </c>
      <c r="C22" t="s">
        <v>310</v>
      </c>
      <c r="E22">
        <v>50</v>
      </c>
    </row>
    <row r="23" spans="1:17" x14ac:dyDescent="0.3">
      <c r="A23" s="14" t="s">
        <v>318</v>
      </c>
      <c r="B23" s="34" t="s">
        <v>319</v>
      </c>
      <c r="C23" t="s">
        <v>323</v>
      </c>
    </row>
    <row r="24" spans="1:17" ht="16.2" thickBot="1" x14ac:dyDescent="0.35">
      <c r="E24" s="58" t="s">
        <v>294</v>
      </c>
      <c r="F24" s="59"/>
    </row>
    <row r="25" spans="1:17" ht="16.2" thickBot="1" x14ac:dyDescent="0.35">
      <c r="A25" s="57" t="s">
        <v>266</v>
      </c>
      <c r="B25" s="58"/>
      <c r="C25" s="58"/>
      <c r="E25" t="s">
        <v>50</v>
      </c>
    </row>
    <row r="26" spans="1:17" x14ac:dyDescent="0.3">
      <c r="A26" s="14" t="s">
        <v>267</v>
      </c>
      <c r="B26" t="s">
        <v>268</v>
      </c>
      <c r="E26" t="s">
        <v>295</v>
      </c>
      <c r="N26" s="22"/>
      <c r="O26" s="22"/>
      <c r="P26" s="22"/>
      <c r="Q26" s="22"/>
    </row>
    <row r="27" spans="1:17" x14ac:dyDescent="0.3">
      <c r="A27" s="14" t="s">
        <v>352</v>
      </c>
      <c r="B27" t="s">
        <v>353</v>
      </c>
      <c r="E27" t="s">
        <v>356</v>
      </c>
    </row>
    <row r="28" spans="1:17" x14ac:dyDescent="0.3">
      <c r="A28" s="14" t="s">
        <v>269</v>
      </c>
      <c r="B28">
        <v>11</v>
      </c>
      <c r="E28" t="s">
        <v>296</v>
      </c>
    </row>
    <row r="29" spans="1:17" x14ac:dyDescent="0.3">
      <c r="E29" t="s">
        <v>297</v>
      </c>
      <c r="I29" s="60"/>
    </row>
    <row r="30" spans="1:17" ht="16.2" thickBot="1" x14ac:dyDescent="0.35">
      <c r="A30" s="57" t="s">
        <v>287</v>
      </c>
      <c r="E30" s="14" t="s">
        <v>298</v>
      </c>
      <c r="F30" s="14"/>
      <c r="I30" s="60"/>
    </row>
    <row r="31" spans="1:17" x14ac:dyDescent="0.3">
      <c r="A31" s="14"/>
      <c r="I31" s="60"/>
    </row>
    <row r="32" spans="1:17" ht="16.2" thickBot="1" x14ac:dyDescent="0.35">
      <c r="A32" s="14"/>
      <c r="E32" s="58" t="s">
        <v>299</v>
      </c>
      <c r="F32" s="59"/>
    </row>
    <row r="33" spans="1:10" x14ac:dyDescent="0.3">
      <c r="A33" s="14"/>
      <c r="E33" t="s">
        <v>51</v>
      </c>
      <c r="G33" s="14"/>
      <c r="H33" s="14"/>
    </row>
    <row r="36" spans="1:10" ht="16.2" thickBot="1" x14ac:dyDescent="0.35">
      <c r="E36" s="61" t="s">
        <v>305</v>
      </c>
      <c r="F36" s="59"/>
    </row>
    <row r="37" spans="1:10" x14ac:dyDescent="0.3">
      <c r="E37" s="59" t="s">
        <v>306</v>
      </c>
      <c r="F37" s="59" t="s">
        <v>258</v>
      </c>
    </row>
    <row r="38" spans="1:10" x14ac:dyDescent="0.3">
      <c r="E38" t="s">
        <v>326</v>
      </c>
      <c r="F38" t="s">
        <v>307</v>
      </c>
    </row>
    <row r="39" spans="1:10" x14ac:dyDescent="0.3">
      <c r="E39" t="s">
        <v>304</v>
      </c>
      <c r="F39" t="s">
        <v>308</v>
      </c>
    </row>
    <row r="40" spans="1:10" x14ac:dyDescent="0.3">
      <c r="E40" t="s">
        <v>303</v>
      </c>
      <c r="F40" t="s">
        <v>309</v>
      </c>
      <c r="I40" s="14"/>
    </row>
    <row r="41" spans="1:10" x14ac:dyDescent="0.3">
      <c r="I41" s="14"/>
    </row>
    <row r="42" spans="1:10" ht="16.2" thickBot="1" x14ac:dyDescent="0.35">
      <c r="E42" s="61" t="s">
        <v>305</v>
      </c>
      <c r="F42" s="59"/>
    </row>
    <row r="43" spans="1:10" x14ac:dyDescent="0.3">
      <c r="E43" s="59" t="s">
        <v>306</v>
      </c>
      <c r="F43" s="59" t="s">
        <v>258</v>
      </c>
      <c r="J43" s="14"/>
    </row>
    <row r="44" spans="1:10" x14ac:dyDescent="0.3">
      <c r="E44" t="s">
        <v>319</v>
      </c>
      <c r="F44" t="s">
        <v>321</v>
      </c>
    </row>
    <row r="45" spans="1:10" x14ac:dyDescent="0.3">
      <c r="E45" t="s">
        <v>320</v>
      </c>
      <c r="F45" t="s">
        <v>322</v>
      </c>
    </row>
    <row r="47" spans="1:10" ht="16.2" thickBot="1" x14ac:dyDescent="0.35">
      <c r="E47" s="61" t="s">
        <v>341</v>
      </c>
      <c r="F47" s="59" t="s">
        <v>339</v>
      </c>
    </row>
    <row r="48" spans="1:10" x14ac:dyDescent="0.3">
      <c r="E48" s="33">
        <v>700</v>
      </c>
      <c r="F48" t="s">
        <v>338</v>
      </c>
    </row>
    <row r="49" spans="5:6" x14ac:dyDescent="0.3">
      <c r="E49" s="33">
        <v>200</v>
      </c>
      <c r="F49" t="s">
        <v>342</v>
      </c>
    </row>
    <row r="51" spans="5:6" ht="16.2" thickBot="1" x14ac:dyDescent="0.35">
      <c r="E51" s="61" t="s">
        <v>340</v>
      </c>
      <c r="F51" s="59" t="s">
        <v>339</v>
      </c>
    </row>
    <row r="52" spans="5:6" x14ac:dyDescent="0.3">
      <c r="E52" s="33">
        <v>35</v>
      </c>
      <c r="F52" t="s">
        <v>338</v>
      </c>
    </row>
    <row r="53" spans="5:6" x14ac:dyDescent="0.3">
      <c r="E53" s="33">
        <v>70</v>
      </c>
      <c r="F53" t="s">
        <v>343</v>
      </c>
    </row>
    <row r="55" spans="5:6" ht="16.2" thickBot="1" x14ac:dyDescent="0.35">
      <c r="E55" s="69" t="s">
        <v>345</v>
      </c>
    </row>
    <row r="56" spans="5:6" x14ac:dyDescent="0.3">
      <c r="E56" t="s">
        <v>346</v>
      </c>
    </row>
    <row r="57" spans="5:6" x14ac:dyDescent="0.3">
      <c r="E57" t="s">
        <v>347</v>
      </c>
    </row>
    <row r="58" spans="5:6" x14ac:dyDescent="0.3">
      <c r="E58" t="s">
        <v>348</v>
      </c>
    </row>
    <row r="60" spans="5:6" ht="16.2" thickBot="1" x14ac:dyDescent="0.35">
      <c r="E60" s="69" t="s">
        <v>363</v>
      </c>
    </row>
    <row r="61" spans="5:6" x14ac:dyDescent="0.3">
      <c r="E61" t="s">
        <v>364</v>
      </c>
    </row>
    <row r="62" spans="5:6" x14ac:dyDescent="0.3">
      <c r="E62" t="s">
        <v>365</v>
      </c>
    </row>
  </sheetData>
  <dataValidations count="2">
    <dataValidation type="list" allowBlank="1" showInputMessage="1" showErrorMessage="1" sqref="B23" xr:uid="{BFF87161-9E78-439F-9B63-F620B9F8A837}">
      <formula1>$E$44:$E$45</formula1>
    </dataValidation>
    <dataValidation type="list" allowBlank="1" showInputMessage="1" showErrorMessage="1" sqref="B22" xr:uid="{5103F0B0-5A7D-4213-9279-0C438FB60721}">
      <formula1>$E$38:$E$40</formula1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2"/>
  <sheetViews>
    <sheetView zoomScaleNormal="100" workbookViewId="0">
      <selection activeCell="M8" sqref="M8"/>
    </sheetView>
  </sheetViews>
  <sheetFormatPr defaultColWidth="8.59765625" defaultRowHeight="15.6" x14ac:dyDescent="0.3"/>
  <cols>
    <col min="1" max="1" width="9.09765625" customWidth="1"/>
    <col min="2" max="2" width="11.3984375" customWidth="1"/>
    <col min="3" max="8" width="12.09765625" customWidth="1"/>
    <col min="10" max="10" width="11.69921875" customWidth="1"/>
    <col min="11" max="11" width="16.19921875" customWidth="1"/>
  </cols>
  <sheetData>
    <row r="1" spans="1:14" s="14" customFormat="1" ht="46.8" x14ac:dyDescent="0.3">
      <c r="A1" s="14" t="s">
        <v>270</v>
      </c>
      <c r="B1" s="14" t="s">
        <v>271</v>
      </c>
      <c r="C1" s="14" t="s">
        <v>272</v>
      </c>
      <c r="D1" s="14" t="s">
        <v>273</v>
      </c>
      <c r="E1" s="14" t="s">
        <v>378</v>
      </c>
      <c r="F1" s="14" t="s">
        <v>274</v>
      </c>
      <c r="G1" s="14" t="s">
        <v>275</v>
      </c>
      <c r="H1" s="14" t="s">
        <v>276</v>
      </c>
      <c r="I1" s="14" t="s">
        <v>277</v>
      </c>
      <c r="J1" s="14" t="s">
        <v>278</v>
      </c>
      <c r="K1" s="14" t="s">
        <v>279</v>
      </c>
      <c r="L1" s="14" t="s">
        <v>280</v>
      </c>
      <c r="M1" s="14" t="s">
        <v>281</v>
      </c>
      <c r="N1" s="14" t="s">
        <v>282</v>
      </c>
    </row>
    <row r="2" spans="1:14" x14ac:dyDescent="0.3">
      <c r="A2" t="str">
        <f>IF(LEN(exp_id)=0,"",exp_id)</f>
        <v/>
      </c>
      <c r="B2" t="str">
        <f>IF(LEN(exp_date)=0,"",exp_date)</f>
        <v/>
      </c>
      <c r="C2" t="str">
        <f>IF(LEN(user_name)=0,"",user_name)</f>
        <v/>
      </c>
      <c r="D2" t="str">
        <f>IF(LEN(exp_type)=0,"",exp_type)</f>
        <v>seqlib</v>
      </c>
      <c r="E2" t="str">
        <f>exp_subtype</f>
        <v>ligation</v>
      </c>
      <c r="F2">
        <f>IF(LEN(exp_version)=0,"",exp_version)</f>
        <v>11</v>
      </c>
      <c r="G2" t="str">
        <f>IF(LEN(exp_notes)=0,"",exp_notes)</f>
        <v/>
      </c>
      <c r="H2" t="str">
        <f>IF(LEN(exp_summary)=0,"",exp_summary)</f>
        <v/>
      </c>
      <c r="I2">
        <f>IF(LEN(exp_rxns)=0,"",exp_rxns)</f>
        <v>0</v>
      </c>
      <c r="J2">
        <f>IF(LEN(endrepair_targetmass)=0,"",endrepair_targetmass)</f>
        <v>800</v>
      </c>
      <c r="K2" t="str">
        <f>IF(DNAconc_pooled=0,"",DNAconc_pooled)</f>
        <v/>
      </c>
      <c r="L2" t="str">
        <f>IF(adaptlig_targetmass=0,"",adaptlig_targetmass)</f>
        <v/>
      </c>
      <c r="M2" t="str">
        <f>IF(DNAconc_library=0,"",DNAconc_library)</f>
        <v/>
      </c>
      <c r="N2" t="str">
        <f>IF(LEN(flowcell_checkpores)=0,"",flowcell_checkpores)</f>
        <v/>
      </c>
    </row>
  </sheetData>
  <sheetProtection algorithmName="SHA-512" hashValue="51zHsQpB/QGY4mh2AR2gefkv81cBDDJPrMjST6BviQHNW/V9mWC7ggZkqBn9AwOLyx++uciS+BUWWakFHaMb+w==" saltValue="6jb/d16NQiaprgS/5S+VaQ==" spinCount="100000" sheet="1" objects="1" scenarios="1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97"/>
  <sheetViews>
    <sheetView zoomScaleNormal="100" workbookViewId="0">
      <selection activeCell="E1" sqref="E1"/>
    </sheetView>
  </sheetViews>
  <sheetFormatPr defaultColWidth="8.59765625" defaultRowHeight="15.6" x14ac:dyDescent="0.3"/>
  <cols>
    <col min="1" max="1" width="11.19921875" customWidth="1"/>
    <col min="2" max="3" width="13.69921875" customWidth="1"/>
    <col min="4" max="4" width="10.69921875" customWidth="1"/>
    <col min="5" max="5" width="28.09765625" customWidth="1"/>
  </cols>
  <sheetData>
    <row r="1" spans="1:5" x14ac:dyDescent="0.3">
      <c r="A1" t="s">
        <v>283</v>
      </c>
      <c r="B1" t="s">
        <v>284</v>
      </c>
      <c r="C1" t="s">
        <v>344</v>
      </c>
      <c r="D1" t="s">
        <v>285</v>
      </c>
      <c r="E1" t="s">
        <v>286</v>
      </c>
    </row>
    <row r="2" spans="1:5" x14ac:dyDescent="0.3">
      <c r="A2" t="str">
        <f>IF(LEN(Library!D3)=0,"",Library!D3)</f>
        <v/>
      </c>
      <c r="B2" t="str">
        <f>IF(LEN(Library!E3)=0,"",Library!E3)</f>
        <v/>
      </c>
      <c r="C2" t="str">
        <f>IF(LEN(Library!F3)=0,"",Library!F3)</f>
        <v/>
      </c>
      <c r="D2" t="str">
        <f>IF(LEN(Library!D3)=0,"",CONCATENATE("barcode",Library!H3))</f>
        <v/>
      </c>
      <c r="E2" t="str">
        <f>IF(LEN(Library!Q3)=0,"",IF(Library!R3&gt;0,Library!R3,Library!Q3))</f>
        <v/>
      </c>
    </row>
    <row r="3" spans="1:5" x14ac:dyDescent="0.3">
      <c r="A3" t="str">
        <f>IF(LEN(Library!D4)=0,"",Library!D4)</f>
        <v/>
      </c>
      <c r="B3" t="str">
        <f>IF(LEN(Library!E4)=0,"",Library!E4)</f>
        <v/>
      </c>
      <c r="C3" t="str">
        <f>IF(LEN(Library!F4)=0,"",Library!F4)</f>
        <v/>
      </c>
      <c r="D3" t="str">
        <f>IF(LEN(Library!D4)=0,"",CONCATENATE("barcode",Library!H4))</f>
        <v/>
      </c>
      <c r="E3" t="str">
        <f>IF(LEN(Library!Q4)=0,"",IF(Library!R4&gt;0,Library!R4,Library!Q4))</f>
        <v/>
      </c>
    </row>
    <row r="4" spans="1:5" x14ac:dyDescent="0.3">
      <c r="A4" t="str">
        <f>IF(LEN(Library!D5)=0,"",Library!D5)</f>
        <v/>
      </c>
      <c r="B4" t="str">
        <f>IF(LEN(Library!E5)=0,"",Library!E5)</f>
        <v/>
      </c>
      <c r="C4" t="str">
        <f>IF(LEN(Library!F5)=0,"",Library!F5)</f>
        <v/>
      </c>
      <c r="D4" t="str">
        <f>IF(LEN(Library!D5)=0,"",CONCATENATE("barcode",Library!H5))</f>
        <v/>
      </c>
      <c r="E4" t="str">
        <f>IF(LEN(Library!Q5)=0,"",IF(Library!R5&gt;0,Library!R5,Library!Q5))</f>
        <v/>
      </c>
    </row>
    <row r="5" spans="1:5" x14ac:dyDescent="0.3">
      <c r="A5" t="str">
        <f>IF(LEN(Library!D6)=0,"",Library!D6)</f>
        <v/>
      </c>
      <c r="B5" t="str">
        <f>IF(LEN(Library!E6)=0,"",Library!E6)</f>
        <v/>
      </c>
      <c r="C5" t="str">
        <f>IF(LEN(Library!F6)=0,"",Library!F6)</f>
        <v/>
      </c>
      <c r="D5" t="str">
        <f>IF(LEN(Library!D6)=0,"",CONCATENATE("barcode",Library!H6))</f>
        <v/>
      </c>
      <c r="E5" t="str">
        <f>IF(LEN(Library!Q6)=0,"",IF(Library!R6&gt;0,Library!R6,Library!Q6))</f>
        <v/>
      </c>
    </row>
    <row r="6" spans="1:5" x14ac:dyDescent="0.3">
      <c r="A6" t="str">
        <f>IF(LEN(Library!D7)=0,"",Library!D7)</f>
        <v/>
      </c>
      <c r="B6" t="str">
        <f>IF(LEN(Library!E7)=0,"",Library!E7)</f>
        <v/>
      </c>
      <c r="C6" t="str">
        <f>IF(LEN(Library!F7)=0,"",Library!F7)</f>
        <v/>
      </c>
      <c r="D6" t="str">
        <f>IF(LEN(Library!D7)=0,"",CONCATENATE("barcode",Library!H7))</f>
        <v/>
      </c>
      <c r="E6" t="str">
        <f>IF(LEN(Library!Q7)=0,"",IF(Library!R7&gt;0,Library!R7,Library!Q7))</f>
        <v/>
      </c>
    </row>
    <row r="7" spans="1:5" x14ac:dyDescent="0.3">
      <c r="A7" t="str">
        <f>IF(LEN(Library!D8)=0,"",Library!D8)</f>
        <v/>
      </c>
      <c r="B7" t="str">
        <f>IF(LEN(Library!E8)=0,"",Library!E8)</f>
        <v/>
      </c>
      <c r="C7" t="str">
        <f>IF(LEN(Library!F8)=0,"",Library!F8)</f>
        <v/>
      </c>
      <c r="D7" t="str">
        <f>IF(LEN(Library!D8)=0,"",CONCATENATE("barcode",Library!H8))</f>
        <v/>
      </c>
      <c r="E7" t="str">
        <f>IF(LEN(Library!Q8)=0,"",IF(Library!R8&gt;0,Library!R8,Library!Q8))</f>
        <v/>
      </c>
    </row>
    <row r="8" spans="1:5" x14ac:dyDescent="0.3">
      <c r="A8" t="str">
        <f>IF(LEN(Library!D9)=0,"",Library!D9)</f>
        <v/>
      </c>
      <c r="B8" t="str">
        <f>IF(LEN(Library!E9)=0,"",Library!E9)</f>
        <v/>
      </c>
      <c r="C8" t="str">
        <f>IF(LEN(Library!F9)=0,"",Library!F9)</f>
        <v/>
      </c>
      <c r="D8" t="str">
        <f>IF(LEN(Library!D9)=0,"",CONCATENATE("barcode",Library!H9))</f>
        <v/>
      </c>
      <c r="E8" t="str">
        <f>IF(LEN(Library!Q9)=0,"",IF(Library!R9&gt;0,Library!R9,Library!Q9))</f>
        <v/>
      </c>
    </row>
    <row r="9" spans="1:5" x14ac:dyDescent="0.3">
      <c r="A9" t="str">
        <f>IF(LEN(Library!D10)=0,"",Library!D10)</f>
        <v/>
      </c>
      <c r="B9" t="str">
        <f>IF(LEN(Library!E10)=0,"",Library!E10)</f>
        <v/>
      </c>
      <c r="C9" t="str">
        <f>IF(LEN(Library!F10)=0,"",Library!F10)</f>
        <v/>
      </c>
      <c r="D9" t="str">
        <f>IF(LEN(Library!D10)=0,"",CONCATENATE("barcode",Library!H10))</f>
        <v/>
      </c>
      <c r="E9" t="str">
        <f>IF(LEN(Library!Q10)=0,"",IF(Library!R10&gt;0,Library!R10,Library!Q10))</f>
        <v/>
      </c>
    </row>
    <row r="10" spans="1:5" x14ac:dyDescent="0.3">
      <c r="A10" t="str">
        <f>IF(LEN(Library!D11)=0,"",Library!D11)</f>
        <v/>
      </c>
      <c r="B10" t="str">
        <f>IF(LEN(Library!E11)=0,"",Library!E11)</f>
        <v/>
      </c>
      <c r="C10" t="str">
        <f>IF(LEN(Library!F11)=0,"",Library!F11)</f>
        <v/>
      </c>
      <c r="D10" t="str">
        <f>IF(LEN(Library!D11)=0,"",CONCATENATE("barcode",Library!H11))</f>
        <v/>
      </c>
      <c r="E10" t="str">
        <f>IF(LEN(Library!Q11)=0,"",IF(Library!R11&gt;0,Library!R11,Library!Q11))</f>
        <v/>
      </c>
    </row>
    <row r="11" spans="1:5" x14ac:dyDescent="0.3">
      <c r="A11" t="str">
        <f>IF(LEN(Library!D12)=0,"",Library!D12)</f>
        <v/>
      </c>
      <c r="B11" t="str">
        <f>IF(LEN(Library!E12)=0,"",Library!E12)</f>
        <v/>
      </c>
      <c r="C11" t="str">
        <f>IF(LEN(Library!F12)=0,"",Library!F12)</f>
        <v/>
      </c>
      <c r="D11" t="str">
        <f>IF(LEN(Library!D12)=0,"",CONCATENATE("barcode",Library!H12))</f>
        <v/>
      </c>
      <c r="E11" t="str">
        <f>IF(LEN(Library!Q12)=0,"",IF(Library!R12&gt;0,Library!R12,Library!Q12))</f>
        <v/>
      </c>
    </row>
    <row r="12" spans="1:5" x14ac:dyDescent="0.3">
      <c r="A12" t="str">
        <f>IF(LEN(Library!D13)=0,"",Library!D13)</f>
        <v/>
      </c>
      <c r="B12" t="str">
        <f>IF(LEN(Library!E13)=0,"",Library!E13)</f>
        <v/>
      </c>
      <c r="C12" t="str">
        <f>IF(LEN(Library!F13)=0,"",Library!F13)</f>
        <v/>
      </c>
      <c r="D12" t="str">
        <f>IF(LEN(Library!D13)=0,"",CONCATENATE("barcode",Library!H13))</f>
        <v/>
      </c>
      <c r="E12" t="str">
        <f>IF(LEN(Library!Q13)=0,"",IF(Library!R13&gt;0,Library!R13,Library!Q13))</f>
        <v/>
      </c>
    </row>
    <row r="13" spans="1:5" x14ac:dyDescent="0.3">
      <c r="A13" t="str">
        <f>IF(LEN(Library!D14)=0,"",Library!D14)</f>
        <v/>
      </c>
      <c r="B13" t="str">
        <f>IF(LEN(Library!E14)=0,"",Library!E14)</f>
        <v/>
      </c>
      <c r="C13" t="str">
        <f>IF(LEN(Library!F14)=0,"",Library!F14)</f>
        <v/>
      </c>
      <c r="D13" t="str">
        <f>IF(LEN(Library!D14)=0,"",CONCATENATE("barcode",Library!H14))</f>
        <v/>
      </c>
      <c r="E13" t="str">
        <f>IF(LEN(Library!Q14)=0,"",IF(Library!R14&gt;0,Library!R14,Library!Q14))</f>
        <v/>
      </c>
    </row>
    <row r="14" spans="1:5" x14ac:dyDescent="0.3">
      <c r="A14" t="str">
        <f>IF(LEN(Library!D15)=0,"",Library!D15)</f>
        <v/>
      </c>
      <c r="B14" t="str">
        <f>IF(LEN(Library!E15)=0,"",Library!E15)</f>
        <v/>
      </c>
      <c r="C14" t="str">
        <f>IF(LEN(Library!F15)=0,"",Library!F15)</f>
        <v/>
      </c>
      <c r="D14" t="str">
        <f>IF(LEN(Library!D15)=0,"",CONCATENATE("barcode",Library!H15))</f>
        <v/>
      </c>
      <c r="E14" t="str">
        <f>IF(LEN(Library!Q15)=0,"",IF(Library!R15&gt;0,Library!R15,Library!Q15))</f>
        <v/>
      </c>
    </row>
    <row r="15" spans="1:5" x14ac:dyDescent="0.3">
      <c r="A15" t="str">
        <f>IF(LEN(Library!D16)=0,"",Library!D16)</f>
        <v/>
      </c>
      <c r="B15" t="str">
        <f>IF(LEN(Library!E16)=0,"",Library!E16)</f>
        <v/>
      </c>
      <c r="C15" t="str">
        <f>IF(LEN(Library!F16)=0,"",Library!F16)</f>
        <v/>
      </c>
      <c r="D15" t="str">
        <f>IF(LEN(Library!D16)=0,"",CONCATENATE("barcode",Library!H16))</f>
        <v/>
      </c>
      <c r="E15" t="str">
        <f>IF(LEN(Library!Q16)=0,"",IF(Library!R16&gt;0,Library!R16,Library!Q16))</f>
        <v/>
      </c>
    </row>
    <row r="16" spans="1:5" x14ac:dyDescent="0.3">
      <c r="A16" t="str">
        <f>IF(LEN(Library!D17)=0,"",Library!D17)</f>
        <v/>
      </c>
      <c r="B16" t="str">
        <f>IF(LEN(Library!E17)=0,"",Library!E17)</f>
        <v/>
      </c>
      <c r="C16" t="str">
        <f>IF(LEN(Library!F17)=0,"",Library!F17)</f>
        <v/>
      </c>
      <c r="D16" t="str">
        <f>IF(LEN(Library!D17)=0,"",CONCATENATE("barcode",Library!H17))</f>
        <v/>
      </c>
      <c r="E16" t="str">
        <f>IF(LEN(Library!Q17)=0,"",IF(Library!R17&gt;0,Library!R17,Library!Q17))</f>
        <v/>
      </c>
    </row>
    <row r="17" spans="1:5" x14ac:dyDescent="0.3">
      <c r="A17" t="str">
        <f>IF(LEN(Library!D18)=0,"",Library!D18)</f>
        <v/>
      </c>
      <c r="B17" t="str">
        <f>IF(LEN(Library!E18)=0,"",Library!E18)</f>
        <v/>
      </c>
      <c r="C17" t="str">
        <f>IF(LEN(Library!F18)=0,"",Library!F18)</f>
        <v/>
      </c>
      <c r="D17" t="str">
        <f>IF(LEN(Library!D18)=0,"",CONCATENATE("barcode",Library!H18))</f>
        <v/>
      </c>
      <c r="E17" t="str">
        <f>IF(LEN(Library!Q18)=0,"",IF(Library!R18&gt;0,Library!R18,Library!Q18))</f>
        <v/>
      </c>
    </row>
    <row r="18" spans="1:5" x14ac:dyDescent="0.3">
      <c r="A18" t="str">
        <f>IF(LEN(Library!D19)=0,"",Library!D19)</f>
        <v/>
      </c>
      <c r="B18" t="str">
        <f>IF(LEN(Library!E19)=0,"",Library!E19)</f>
        <v/>
      </c>
      <c r="C18" t="str">
        <f>IF(LEN(Library!F19)=0,"",Library!F19)</f>
        <v/>
      </c>
      <c r="D18" t="str">
        <f>IF(LEN(Library!D19)=0,"",CONCATENATE("barcode",Library!H19))</f>
        <v/>
      </c>
      <c r="E18" t="str">
        <f>IF(LEN(Library!Q19)=0,"",IF(Library!R19&gt;0,Library!R19,Library!Q19))</f>
        <v/>
      </c>
    </row>
    <row r="19" spans="1:5" x14ac:dyDescent="0.3">
      <c r="A19" t="str">
        <f>IF(LEN(Library!D20)=0,"",Library!D20)</f>
        <v/>
      </c>
      <c r="B19" t="str">
        <f>IF(LEN(Library!E20)=0,"",Library!E20)</f>
        <v/>
      </c>
      <c r="C19" t="str">
        <f>IF(LEN(Library!F20)=0,"",Library!F20)</f>
        <v/>
      </c>
      <c r="D19" t="str">
        <f>IF(LEN(Library!D20)=0,"",CONCATENATE("barcode",Library!H20))</f>
        <v/>
      </c>
      <c r="E19" t="str">
        <f>IF(LEN(Library!Q20)=0,"",IF(Library!R20&gt;0,Library!R20,Library!Q20))</f>
        <v/>
      </c>
    </row>
    <row r="20" spans="1:5" x14ac:dyDescent="0.3">
      <c r="A20" t="str">
        <f>IF(LEN(Library!D21)=0,"",Library!D21)</f>
        <v/>
      </c>
      <c r="B20" t="str">
        <f>IF(LEN(Library!E21)=0,"",Library!E21)</f>
        <v/>
      </c>
      <c r="C20" t="str">
        <f>IF(LEN(Library!F21)=0,"",Library!F21)</f>
        <v/>
      </c>
      <c r="D20" t="str">
        <f>IF(LEN(Library!D21)=0,"",CONCATENATE("barcode",Library!H21))</f>
        <v/>
      </c>
      <c r="E20" t="str">
        <f>IF(LEN(Library!Q21)=0,"",IF(Library!R21&gt;0,Library!R21,Library!Q21))</f>
        <v/>
      </c>
    </row>
    <row r="21" spans="1:5" x14ac:dyDescent="0.3">
      <c r="A21" t="str">
        <f>IF(LEN(Library!D22)=0,"",Library!D22)</f>
        <v/>
      </c>
      <c r="B21" t="str">
        <f>IF(LEN(Library!E22)=0,"",Library!E22)</f>
        <v/>
      </c>
      <c r="C21" t="str">
        <f>IF(LEN(Library!F22)=0,"",Library!F22)</f>
        <v/>
      </c>
      <c r="D21" t="str">
        <f>IF(LEN(Library!D22)=0,"",CONCATENATE("barcode",Library!H22))</f>
        <v/>
      </c>
      <c r="E21" t="str">
        <f>IF(LEN(Library!Q22)=0,"",IF(Library!R22&gt;0,Library!R22,Library!Q22))</f>
        <v/>
      </c>
    </row>
    <row r="22" spans="1:5" x14ac:dyDescent="0.3">
      <c r="A22" t="str">
        <f>IF(LEN(Library!D23)=0,"",Library!D23)</f>
        <v/>
      </c>
      <c r="B22" t="str">
        <f>IF(LEN(Library!E23)=0,"",Library!E23)</f>
        <v/>
      </c>
      <c r="C22" t="str">
        <f>IF(LEN(Library!F23)=0,"",Library!F23)</f>
        <v/>
      </c>
      <c r="D22" t="str">
        <f>IF(LEN(Library!D23)=0,"",CONCATENATE("barcode",Library!H23))</f>
        <v/>
      </c>
      <c r="E22" t="str">
        <f>IF(LEN(Library!Q23)=0,"",IF(Library!R23&gt;0,Library!R23,Library!Q23))</f>
        <v/>
      </c>
    </row>
    <row r="23" spans="1:5" x14ac:dyDescent="0.3">
      <c r="A23" t="str">
        <f>IF(LEN(Library!D24)=0,"",Library!D24)</f>
        <v/>
      </c>
      <c r="B23" t="str">
        <f>IF(LEN(Library!E24)=0,"",Library!E24)</f>
        <v/>
      </c>
      <c r="C23" t="str">
        <f>IF(LEN(Library!F24)=0,"",Library!F24)</f>
        <v/>
      </c>
      <c r="D23" t="str">
        <f>IF(LEN(Library!D24)=0,"",CONCATENATE("barcode",Library!H24))</f>
        <v/>
      </c>
      <c r="E23" t="str">
        <f>IF(LEN(Library!Q24)=0,"",IF(Library!R24&gt;0,Library!R24,Library!Q24))</f>
        <v/>
      </c>
    </row>
    <row r="24" spans="1:5" x14ac:dyDescent="0.3">
      <c r="A24" t="str">
        <f>IF(LEN(Library!D25)=0,"",Library!D25)</f>
        <v/>
      </c>
      <c r="B24" t="str">
        <f>IF(LEN(Library!E25)=0,"",Library!E25)</f>
        <v/>
      </c>
      <c r="C24" t="str">
        <f>IF(LEN(Library!F25)=0,"",Library!F25)</f>
        <v/>
      </c>
      <c r="D24" t="str">
        <f>IF(LEN(Library!D25)=0,"",CONCATENATE("barcode",Library!H25))</f>
        <v/>
      </c>
      <c r="E24" t="str">
        <f>IF(LEN(Library!Q25)=0,"",IF(Library!R25&gt;0,Library!R25,Library!Q25))</f>
        <v/>
      </c>
    </row>
    <row r="25" spans="1:5" x14ac:dyDescent="0.3">
      <c r="A25" t="str">
        <f>IF(LEN(Library!D26)=0,"",Library!D26)</f>
        <v/>
      </c>
      <c r="B25" t="str">
        <f>IF(LEN(Library!E26)=0,"",Library!E26)</f>
        <v/>
      </c>
      <c r="C25" t="str">
        <f>IF(LEN(Library!F26)=0,"",Library!F26)</f>
        <v/>
      </c>
      <c r="D25" t="str">
        <f>IF(LEN(Library!D26)=0,"",CONCATENATE("barcode",Library!H26))</f>
        <v/>
      </c>
      <c r="E25" t="str">
        <f>IF(LEN(Library!Q26)=0,"",IF(Library!R26&gt;0,Library!R26,Library!Q26))</f>
        <v/>
      </c>
    </row>
    <row r="26" spans="1:5" x14ac:dyDescent="0.3">
      <c r="A26" t="str">
        <f>IF(LEN(Library!D27)=0,"",Library!D27)</f>
        <v/>
      </c>
      <c r="B26" t="str">
        <f>IF(LEN(Library!E27)=0,"",Library!E27)</f>
        <v/>
      </c>
      <c r="C26" t="str">
        <f>IF(LEN(Library!F27)=0,"",Library!F27)</f>
        <v/>
      </c>
      <c r="D26" t="str">
        <f>IF(LEN(Library!D27)=0,"",CONCATENATE("barcode",Library!H27))</f>
        <v/>
      </c>
      <c r="E26" t="str">
        <f>IF(LEN(Library!Q27)=0,"",IF(Library!R27&gt;0,Library!R27,Library!Q27))</f>
        <v/>
      </c>
    </row>
    <row r="27" spans="1:5" x14ac:dyDescent="0.3">
      <c r="A27" t="str">
        <f>IF(LEN(Library!D28)=0,"",Library!D28)</f>
        <v/>
      </c>
      <c r="B27" t="str">
        <f>IF(LEN(Library!E28)=0,"",Library!E28)</f>
        <v/>
      </c>
      <c r="C27" t="str">
        <f>IF(LEN(Library!F28)=0,"",Library!F28)</f>
        <v/>
      </c>
      <c r="D27" t="str">
        <f>IF(LEN(Library!D28)=0,"",CONCATENATE("barcode",Library!H28))</f>
        <v/>
      </c>
      <c r="E27" t="str">
        <f>IF(LEN(Library!Q28)=0,"",IF(Library!R28&gt;0,Library!R28,Library!Q28))</f>
        <v/>
      </c>
    </row>
    <row r="28" spans="1:5" x14ac:dyDescent="0.3">
      <c r="A28" t="str">
        <f>IF(LEN(Library!D29)=0,"",Library!D29)</f>
        <v/>
      </c>
      <c r="B28" t="str">
        <f>IF(LEN(Library!E29)=0,"",Library!E29)</f>
        <v/>
      </c>
      <c r="C28" t="str">
        <f>IF(LEN(Library!F29)=0,"",Library!F29)</f>
        <v/>
      </c>
      <c r="D28" t="str">
        <f>IF(LEN(Library!D29)=0,"",CONCATENATE("barcode",Library!H29))</f>
        <v/>
      </c>
      <c r="E28" t="str">
        <f>IF(LEN(Library!Q29)=0,"",IF(Library!R29&gt;0,Library!R29,Library!Q29))</f>
        <v/>
      </c>
    </row>
    <row r="29" spans="1:5" x14ac:dyDescent="0.3">
      <c r="A29" t="str">
        <f>IF(LEN(Library!D30)=0,"",Library!D30)</f>
        <v/>
      </c>
      <c r="B29" t="str">
        <f>IF(LEN(Library!E30)=0,"",Library!E30)</f>
        <v/>
      </c>
      <c r="C29" t="str">
        <f>IF(LEN(Library!F30)=0,"",Library!F30)</f>
        <v/>
      </c>
      <c r="D29" t="str">
        <f>IF(LEN(Library!D30)=0,"",CONCATENATE("barcode",Library!H30))</f>
        <v/>
      </c>
      <c r="E29" t="str">
        <f>IF(LEN(Library!Q30)=0,"",IF(Library!R30&gt;0,Library!R30,Library!Q30))</f>
        <v/>
      </c>
    </row>
    <row r="30" spans="1:5" x14ac:dyDescent="0.3">
      <c r="A30" t="str">
        <f>IF(LEN(Library!D31)=0,"",Library!D31)</f>
        <v/>
      </c>
      <c r="B30" t="str">
        <f>IF(LEN(Library!E31)=0,"",Library!E31)</f>
        <v/>
      </c>
      <c r="C30" t="str">
        <f>IF(LEN(Library!F31)=0,"",Library!F31)</f>
        <v/>
      </c>
      <c r="D30" t="str">
        <f>IF(LEN(Library!D31)=0,"",CONCATENATE("barcode",Library!H31))</f>
        <v/>
      </c>
      <c r="E30" t="str">
        <f>IF(LEN(Library!Q31)=0,"",IF(Library!R31&gt;0,Library!R31,Library!Q31))</f>
        <v/>
      </c>
    </row>
    <row r="31" spans="1:5" x14ac:dyDescent="0.3">
      <c r="A31" t="str">
        <f>IF(LEN(Library!D32)=0,"",Library!D32)</f>
        <v/>
      </c>
      <c r="B31" t="str">
        <f>IF(LEN(Library!E32)=0,"",Library!E32)</f>
        <v/>
      </c>
      <c r="C31" t="str">
        <f>IF(LEN(Library!F32)=0,"",Library!F32)</f>
        <v/>
      </c>
      <c r="D31" t="str">
        <f>IF(LEN(Library!D32)=0,"",CONCATENATE("barcode",Library!H32))</f>
        <v/>
      </c>
      <c r="E31" t="str">
        <f>IF(LEN(Library!Q32)=0,"",IF(Library!R32&gt;0,Library!R32,Library!Q32))</f>
        <v/>
      </c>
    </row>
    <row r="32" spans="1:5" x14ac:dyDescent="0.3">
      <c r="A32" t="str">
        <f>IF(LEN(Library!D33)=0,"",Library!D33)</f>
        <v/>
      </c>
      <c r="B32" t="str">
        <f>IF(LEN(Library!E33)=0,"",Library!E33)</f>
        <v/>
      </c>
      <c r="C32" t="str">
        <f>IF(LEN(Library!F33)=0,"",Library!F33)</f>
        <v/>
      </c>
      <c r="D32" t="str">
        <f>IF(LEN(Library!D33)=0,"",CONCATENATE("barcode",Library!H33))</f>
        <v/>
      </c>
      <c r="E32" t="str">
        <f>IF(LEN(Library!Q33)=0,"",IF(Library!R33&gt;0,Library!R33,Library!Q33))</f>
        <v/>
      </c>
    </row>
    <row r="33" spans="1:5" x14ac:dyDescent="0.3">
      <c r="A33" t="str">
        <f>IF(LEN(Library!D34)=0,"",Library!D34)</f>
        <v/>
      </c>
      <c r="B33" t="str">
        <f>IF(LEN(Library!E34)=0,"",Library!E34)</f>
        <v/>
      </c>
      <c r="C33" t="str">
        <f>IF(LEN(Library!F34)=0,"",Library!F34)</f>
        <v/>
      </c>
      <c r="D33" t="str">
        <f>IF(LEN(Library!D34)=0,"",CONCATENATE("barcode",Library!H34))</f>
        <v/>
      </c>
      <c r="E33" t="str">
        <f>IF(LEN(Library!Q34)=0,"",IF(Library!R34&gt;0,Library!R34,Library!Q34))</f>
        <v/>
      </c>
    </row>
    <row r="34" spans="1:5" x14ac:dyDescent="0.3">
      <c r="A34" t="str">
        <f>IF(LEN(Library!D35)=0,"",Library!D35)</f>
        <v/>
      </c>
      <c r="B34" t="str">
        <f>IF(LEN(Library!E35)=0,"",Library!E35)</f>
        <v/>
      </c>
      <c r="C34" t="str">
        <f>IF(LEN(Library!F35)=0,"",Library!F35)</f>
        <v/>
      </c>
      <c r="D34" t="str">
        <f>IF(LEN(Library!D35)=0,"",CONCATENATE("barcode",Library!H35))</f>
        <v/>
      </c>
      <c r="E34" t="str">
        <f>IF(LEN(Library!Q35)=0,"",IF(Library!R35&gt;0,Library!R35,Library!Q35))</f>
        <v/>
      </c>
    </row>
    <row r="35" spans="1:5" x14ac:dyDescent="0.3">
      <c r="A35" t="str">
        <f>IF(LEN(Library!D36)=0,"",Library!D36)</f>
        <v/>
      </c>
      <c r="B35" t="str">
        <f>IF(LEN(Library!E36)=0,"",Library!E36)</f>
        <v/>
      </c>
      <c r="C35" t="str">
        <f>IF(LEN(Library!F36)=0,"",Library!F36)</f>
        <v/>
      </c>
      <c r="D35" t="str">
        <f>IF(LEN(Library!D36)=0,"",CONCATENATE("barcode",Library!H36))</f>
        <v/>
      </c>
      <c r="E35" t="str">
        <f>IF(LEN(Library!Q36)=0,"",IF(Library!R36&gt;0,Library!R36,Library!Q36))</f>
        <v/>
      </c>
    </row>
    <row r="36" spans="1:5" x14ac:dyDescent="0.3">
      <c r="A36" t="str">
        <f>IF(LEN(Library!D37)=0,"",Library!D37)</f>
        <v/>
      </c>
      <c r="B36" t="str">
        <f>IF(LEN(Library!E37)=0,"",Library!E37)</f>
        <v/>
      </c>
      <c r="C36" t="str">
        <f>IF(LEN(Library!F37)=0,"",Library!F37)</f>
        <v/>
      </c>
      <c r="D36" t="str">
        <f>IF(LEN(Library!D37)=0,"",CONCATENATE("barcode",Library!H37))</f>
        <v/>
      </c>
      <c r="E36" t="str">
        <f>IF(LEN(Library!Q37)=0,"",IF(Library!R37&gt;0,Library!R37,Library!Q37))</f>
        <v/>
      </c>
    </row>
    <row r="37" spans="1:5" x14ac:dyDescent="0.3">
      <c r="A37" t="str">
        <f>IF(LEN(Library!D38)=0,"",Library!D38)</f>
        <v/>
      </c>
      <c r="B37" t="str">
        <f>IF(LEN(Library!E38)=0,"",Library!E38)</f>
        <v/>
      </c>
      <c r="C37" t="str">
        <f>IF(LEN(Library!F38)=0,"",Library!F38)</f>
        <v/>
      </c>
      <c r="D37" t="str">
        <f>IF(LEN(Library!D38)=0,"",CONCATENATE("barcode",Library!H38))</f>
        <v/>
      </c>
      <c r="E37" t="str">
        <f>IF(LEN(Library!Q38)=0,"",IF(Library!R38&gt;0,Library!R38,Library!Q38))</f>
        <v/>
      </c>
    </row>
    <row r="38" spans="1:5" x14ac:dyDescent="0.3">
      <c r="A38" t="str">
        <f>IF(LEN(Library!D39)=0,"",Library!D39)</f>
        <v/>
      </c>
      <c r="B38" t="str">
        <f>IF(LEN(Library!E39)=0,"",Library!E39)</f>
        <v/>
      </c>
      <c r="C38" t="str">
        <f>IF(LEN(Library!F39)=0,"",Library!F39)</f>
        <v/>
      </c>
      <c r="D38" t="str">
        <f>IF(LEN(Library!D39)=0,"",CONCATENATE("barcode",Library!H39))</f>
        <v/>
      </c>
      <c r="E38" t="str">
        <f>IF(LEN(Library!Q39)=0,"",IF(Library!R39&gt;0,Library!R39,Library!Q39))</f>
        <v/>
      </c>
    </row>
    <row r="39" spans="1:5" x14ac:dyDescent="0.3">
      <c r="A39" t="str">
        <f>IF(LEN(Library!D40)=0,"",Library!D40)</f>
        <v/>
      </c>
      <c r="B39" t="str">
        <f>IF(LEN(Library!E40)=0,"",Library!E40)</f>
        <v/>
      </c>
      <c r="C39" t="str">
        <f>IF(LEN(Library!F40)=0,"",Library!F40)</f>
        <v/>
      </c>
      <c r="D39" t="str">
        <f>IF(LEN(Library!D40)=0,"",CONCATENATE("barcode",Library!H40))</f>
        <v/>
      </c>
      <c r="E39" t="str">
        <f>IF(LEN(Library!Q40)=0,"",IF(Library!R40&gt;0,Library!R40,Library!Q40))</f>
        <v/>
      </c>
    </row>
    <row r="40" spans="1:5" x14ac:dyDescent="0.3">
      <c r="A40" t="str">
        <f>IF(LEN(Library!D41)=0,"",Library!D41)</f>
        <v/>
      </c>
      <c r="B40" t="str">
        <f>IF(LEN(Library!E41)=0,"",Library!E41)</f>
        <v/>
      </c>
      <c r="C40" t="str">
        <f>IF(LEN(Library!F41)=0,"",Library!F41)</f>
        <v/>
      </c>
      <c r="D40" t="str">
        <f>IF(LEN(Library!D41)=0,"",CONCATENATE("barcode",Library!H41))</f>
        <v/>
      </c>
      <c r="E40" t="str">
        <f>IF(LEN(Library!Q41)=0,"",IF(Library!R41&gt;0,Library!R41,Library!Q41))</f>
        <v/>
      </c>
    </row>
    <row r="41" spans="1:5" x14ac:dyDescent="0.3">
      <c r="A41" t="str">
        <f>IF(LEN(Library!D42)=0,"",Library!D42)</f>
        <v/>
      </c>
      <c r="B41" t="str">
        <f>IF(LEN(Library!E42)=0,"",Library!E42)</f>
        <v/>
      </c>
      <c r="C41" t="str">
        <f>IF(LEN(Library!F42)=0,"",Library!F42)</f>
        <v/>
      </c>
      <c r="D41" t="str">
        <f>IF(LEN(Library!D42)=0,"",CONCATENATE("barcode",Library!H42))</f>
        <v/>
      </c>
      <c r="E41" t="str">
        <f>IF(LEN(Library!Q42)=0,"",IF(Library!R42&gt;0,Library!R42,Library!Q42))</f>
        <v/>
      </c>
    </row>
    <row r="42" spans="1:5" x14ac:dyDescent="0.3">
      <c r="A42" t="str">
        <f>IF(LEN(Library!D43)=0,"",Library!D43)</f>
        <v/>
      </c>
      <c r="B42" t="str">
        <f>IF(LEN(Library!E43)=0,"",Library!E43)</f>
        <v/>
      </c>
      <c r="C42" t="str">
        <f>IF(LEN(Library!F43)=0,"",Library!F43)</f>
        <v/>
      </c>
      <c r="D42" t="str">
        <f>IF(LEN(Library!D43)=0,"",CONCATENATE("barcode",Library!H43))</f>
        <v/>
      </c>
      <c r="E42" t="str">
        <f>IF(LEN(Library!Q43)=0,"",IF(Library!R43&gt;0,Library!R43,Library!Q43))</f>
        <v/>
      </c>
    </row>
    <row r="43" spans="1:5" x14ac:dyDescent="0.3">
      <c r="A43" t="str">
        <f>IF(LEN(Library!D44)=0,"",Library!D44)</f>
        <v/>
      </c>
      <c r="B43" t="str">
        <f>IF(LEN(Library!E44)=0,"",Library!E44)</f>
        <v/>
      </c>
      <c r="C43" t="str">
        <f>IF(LEN(Library!F44)=0,"",Library!F44)</f>
        <v/>
      </c>
      <c r="D43" t="str">
        <f>IF(LEN(Library!D44)=0,"",CONCATENATE("barcode",Library!H44))</f>
        <v/>
      </c>
      <c r="E43" t="str">
        <f>IF(LEN(Library!Q44)=0,"",IF(Library!R44&gt;0,Library!R44,Library!Q44))</f>
        <v/>
      </c>
    </row>
    <row r="44" spans="1:5" x14ac:dyDescent="0.3">
      <c r="A44" t="str">
        <f>IF(LEN(Library!D45)=0,"",Library!D45)</f>
        <v/>
      </c>
      <c r="B44" t="str">
        <f>IF(LEN(Library!E45)=0,"",Library!E45)</f>
        <v/>
      </c>
      <c r="C44" t="str">
        <f>IF(LEN(Library!F45)=0,"",Library!F45)</f>
        <v/>
      </c>
      <c r="D44" t="str">
        <f>IF(LEN(Library!D45)=0,"",CONCATENATE("barcode",Library!H45))</f>
        <v/>
      </c>
      <c r="E44" t="str">
        <f>IF(LEN(Library!Q45)=0,"",IF(Library!R45&gt;0,Library!R45,Library!Q45))</f>
        <v/>
      </c>
    </row>
    <row r="45" spans="1:5" x14ac:dyDescent="0.3">
      <c r="A45" t="str">
        <f>IF(LEN(Library!D46)=0,"",Library!D46)</f>
        <v/>
      </c>
      <c r="B45" t="str">
        <f>IF(LEN(Library!E46)=0,"",Library!E46)</f>
        <v/>
      </c>
      <c r="C45" t="str">
        <f>IF(LEN(Library!F46)=0,"",Library!F46)</f>
        <v/>
      </c>
      <c r="D45" t="str">
        <f>IF(LEN(Library!D46)=0,"",CONCATENATE("barcode",Library!H46))</f>
        <v/>
      </c>
      <c r="E45" t="str">
        <f>IF(LEN(Library!Q46)=0,"",IF(Library!R46&gt;0,Library!R46,Library!Q46))</f>
        <v/>
      </c>
    </row>
    <row r="46" spans="1:5" x14ac:dyDescent="0.3">
      <c r="A46" t="str">
        <f>IF(LEN(Library!D47)=0,"",Library!D47)</f>
        <v/>
      </c>
      <c r="B46" t="str">
        <f>IF(LEN(Library!E47)=0,"",Library!E47)</f>
        <v/>
      </c>
      <c r="C46" t="str">
        <f>IF(LEN(Library!F47)=0,"",Library!F47)</f>
        <v/>
      </c>
      <c r="D46" t="str">
        <f>IF(LEN(Library!D47)=0,"",CONCATENATE("barcode",Library!H47))</f>
        <v/>
      </c>
      <c r="E46" t="str">
        <f>IF(LEN(Library!Q47)=0,"",IF(Library!R47&gt;0,Library!R47,Library!Q47))</f>
        <v/>
      </c>
    </row>
    <row r="47" spans="1:5" x14ac:dyDescent="0.3">
      <c r="A47" t="str">
        <f>IF(LEN(Library!D48)=0,"",Library!D48)</f>
        <v/>
      </c>
      <c r="B47" t="str">
        <f>IF(LEN(Library!E48)=0,"",Library!E48)</f>
        <v/>
      </c>
      <c r="C47" t="str">
        <f>IF(LEN(Library!F48)=0,"",Library!F48)</f>
        <v/>
      </c>
      <c r="D47" t="str">
        <f>IF(LEN(Library!D48)=0,"",CONCATENATE("barcode",Library!H48))</f>
        <v/>
      </c>
      <c r="E47" t="str">
        <f>IF(LEN(Library!Q48)=0,"",IF(Library!R48&gt;0,Library!R48,Library!Q48))</f>
        <v/>
      </c>
    </row>
    <row r="48" spans="1:5" x14ac:dyDescent="0.3">
      <c r="A48" t="str">
        <f>IF(LEN(Library!D49)=0,"",Library!D49)</f>
        <v/>
      </c>
      <c r="B48" t="str">
        <f>IF(LEN(Library!E49)=0,"",Library!E49)</f>
        <v/>
      </c>
      <c r="C48" t="str">
        <f>IF(LEN(Library!F49)=0,"",Library!F49)</f>
        <v/>
      </c>
      <c r="D48" t="str">
        <f>IF(LEN(Library!D49)=0,"",CONCATENATE("barcode",Library!H49))</f>
        <v/>
      </c>
      <c r="E48" t="str">
        <f>IF(LEN(Library!Q49)=0,"",IF(Library!R49&gt;0,Library!R49,Library!Q49))</f>
        <v/>
      </c>
    </row>
    <row r="49" spans="1:5" x14ac:dyDescent="0.3">
      <c r="A49" t="str">
        <f>IF(LEN(Library!D50)=0,"",Library!D50)</f>
        <v/>
      </c>
      <c r="B49" t="str">
        <f>IF(LEN(Library!E50)=0,"",Library!E50)</f>
        <v/>
      </c>
      <c r="C49" t="str">
        <f>IF(LEN(Library!F50)=0,"",Library!F50)</f>
        <v/>
      </c>
      <c r="D49" t="str">
        <f>IF(LEN(Library!D50)=0,"",CONCATENATE("barcode",Library!H50))</f>
        <v/>
      </c>
      <c r="E49" t="str">
        <f>IF(LEN(Library!Q50)=0,"",IF(Library!R50&gt;0,Library!R50,Library!Q50))</f>
        <v/>
      </c>
    </row>
    <row r="50" spans="1:5" x14ac:dyDescent="0.3">
      <c r="A50" t="str">
        <f>IF(LEN(Library!D51)=0,"",Library!D51)</f>
        <v/>
      </c>
      <c r="B50" t="str">
        <f>IF(LEN(Library!E51)=0,"",Library!E51)</f>
        <v/>
      </c>
      <c r="C50" t="str">
        <f>IF(LEN(Library!F51)=0,"",Library!F51)</f>
        <v/>
      </c>
      <c r="D50" t="str">
        <f>IF(LEN(Library!D51)=0,"",CONCATENATE("barcode",Library!H51))</f>
        <v/>
      </c>
      <c r="E50" t="str">
        <f>IF(LEN(Library!Q51)=0,"",IF(Library!R51&gt;0,Library!R51,Library!Q51))</f>
        <v/>
      </c>
    </row>
    <row r="51" spans="1:5" x14ac:dyDescent="0.3">
      <c r="A51" t="str">
        <f>IF(LEN(Library!D52)=0,"",Library!D52)</f>
        <v/>
      </c>
      <c r="B51" t="str">
        <f>IF(LEN(Library!E52)=0,"",Library!E52)</f>
        <v/>
      </c>
      <c r="C51" t="str">
        <f>IF(LEN(Library!F52)=0,"",Library!F52)</f>
        <v/>
      </c>
      <c r="D51" t="str">
        <f>IF(LEN(Library!D52)=0,"",CONCATENATE("barcode",Library!H52))</f>
        <v/>
      </c>
      <c r="E51" t="str">
        <f>IF(LEN(Library!Q52)=0,"",IF(Library!R52&gt;0,Library!R52,Library!Q52))</f>
        <v/>
      </c>
    </row>
    <row r="52" spans="1:5" x14ac:dyDescent="0.3">
      <c r="A52" t="str">
        <f>IF(LEN(Library!D53)=0,"",Library!D53)</f>
        <v/>
      </c>
      <c r="B52" t="str">
        <f>IF(LEN(Library!E53)=0,"",Library!E53)</f>
        <v/>
      </c>
      <c r="C52" t="str">
        <f>IF(LEN(Library!F53)=0,"",Library!F53)</f>
        <v/>
      </c>
      <c r="D52" t="str">
        <f>IF(LEN(Library!D53)=0,"",CONCATENATE("barcode",Library!H53))</f>
        <v/>
      </c>
      <c r="E52" t="str">
        <f>IF(LEN(Library!Q53)=0,"",IF(Library!R53&gt;0,Library!R53,Library!Q53))</f>
        <v/>
      </c>
    </row>
    <row r="53" spans="1:5" x14ac:dyDescent="0.3">
      <c r="A53" t="str">
        <f>IF(LEN(Library!D54)=0,"",Library!D54)</f>
        <v/>
      </c>
      <c r="B53" t="str">
        <f>IF(LEN(Library!E54)=0,"",Library!E54)</f>
        <v/>
      </c>
      <c r="C53" t="str">
        <f>IF(LEN(Library!F54)=0,"",Library!F54)</f>
        <v/>
      </c>
      <c r="D53" t="str">
        <f>IF(LEN(Library!D54)=0,"",CONCATENATE("barcode",Library!H54))</f>
        <v/>
      </c>
      <c r="E53" t="str">
        <f>IF(LEN(Library!Q54)=0,"",IF(Library!R54&gt;0,Library!R54,Library!Q54))</f>
        <v/>
      </c>
    </row>
    <row r="54" spans="1:5" x14ac:dyDescent="0.3">
      <c r="A54" t="str">
        <f>IF(LEN(Library!D55)=0,"",Library!D55)</f>
        <v/>
      </c>
      <c r="B54" t="str">
        <f>IF(LEN(Library!E55)=0,"",Library!E55)</f>
        <v/>
      </c>
      <c r="C54" t="str">
        <f>IF(LEN(Library!F55)=0,"",Library!F55)</f>
        <v/>
      </c>
      <c r="D54" t="str">
        <f>IF(LEN(Library!D55)=0,"",CONCATENATE("barcode",Library!H55))</f>
        <v/>
      </c>
      <c r="E54" t="str">
        <f>IF(LEN(Library!Q55)=0,"",IF(Library!R55&gt;0,Library!R55,Library!Q55))</f>
        <v/>
      </c>
    </row>
    <row r="55" spans="1:5" x14ac:dyDescent="0.3">
      <c r="A55" t="str">
        <f>IF(LEN(Library!D56)=0,"",Library!D56)</f>
        <v/>
      </c>
      <c r="B55" t="str">
        <f>IF(LEN(Library!E56)=0,"",Library!E56)</f>
        <v/>
      </c>
      <c r="C55" t="str">
        <f>IF(LEN(Library!F56)=0,"",Library!F56)</f>
        <v/>
      </c>
      <c r="D55" t="str">
        <f>IF(LEN(Library!D56)=0,"",CONCATENATE("barcode",Library!H56))</f>
        <v/>
      </c>
      <c r="E55" t="str">
        <f>IF(LEN(Library!Q56)=0,"",IF(Library!R56&gt;0,Library!R56,Library!Q56))</f>
        <v/>
      </c>
    </row>
    <row r="56" spans="1:5" x14ac:dyDescent="0.3">
      <c r="A56" t="str">
        <f>IF(LEN(Library!D57)=0,"",Library!D57)</f>
        <v/>
      </c>
      <c r="B56" t="str">
        <f>IF(LEN(Library!E57)=0,"",Library!E57)</f>
        <v/>
      </c>
      <c r="C56" t="str">
        <f>IF(LEN(Library!F57)=0,"",Library!F57)</f>
        <v/>
      </c>
      <c r="D56" t="str">
        <f>IF(LEN(Library!D57)=0,"",CONCATENATE("barcode",Library!H57))</f>
        <v/>
      </c>
      <c r="E56" t="str">
        <f>IF(LEN(Library!Q57)=0,"",IF(Library!R57&gt;0,Library!R57,Library!Q57))</f>
        <v/>
      </c>
    </row>
    <row r="57" spans="1:5" x14ac:dyDescent="0.3">
      <c r="A57" t="str">
        <f>IF(LEN(Library!D58)=0,"",Library!D58)</f>
        <v/>
      </c>
      <c r="B57" t="str">
        <f>IF(LEN(Library!E58)=0,"",Library!E58)</f>
        <v/>
      </c>
      <c r="C57" t="str">
        <f>IF(LEN(Library!F58)=0,"",Library!F58)</f>
        <v/>
      </c>
      <c r="D57" t="str">
        <f>IF(LEN(Library!D58)=0,"",CONCATENATE("barcode",Library!H58))</f>
        <v/>
      </c>
      <c r="E57" t="str">
        <f>IF(LEN(Library!Q58)=0,"",IF(Library!R58&gt;0,Library!R58,Library!Q58))</f>
        <v/>
      </c>
    </row>
    <row r="58" spans="1:5" x14ac:dyDescent="0.3">
      <c r="A58" t="str">
        <f>IF(LEN(Library!D59)=0,"",Library!D59)</f>
        <v/>
      </c>
      <c r="B58" t="str">
        <f>IF(LEN(Library!E59)=0,"",Library!E59)</f>
        <v/>
      </c>
      <c r="C58" t="str">
        <f>IF(LEN(Library!F59)=0,"",Library!F59)</f>
        <v/>
      </c>
      <c r="D58" t="str">
        <f>IF(LEN(Library!D59)=0,"",CONCATENATE("barcode",Library!H59))</f>
        <v/>
      </c>
      <c r="E58" t="str">
        <f>IF(LEN(Library!Q59)=0,"",IF(Library!R59&gt;0,Library!R59,Library!Q59))</f>
        <v/>
      </c>
    </row>
    <row r="59" spans="1:5" x14ac:dyDescent="0.3">
      <c r="A59" t="str">
        <f>IF(LEN(Library!D60)=0,"",Library!D60)</f>
        <v/>
      </c>
      <c r="B59" t="str">
        <f>IF(LEN(Library!E60)=0,"",Library!E60)</f>
        <v/>
      </c>
      <c r="C59" t="str">
        <f>IF(LEN(Library!F60)=0,"",Library!F60)</f>
        <v/>
      </c>
      <c r="D59" t="str">
        <f>IF(LEN(Library!D60)=0,"",CONCATENATE("barcode",Library!H60))</f>
        <v/>
      </c>
      <c r="E59" t="str">
        <f>IF(LEN(Library!Q60)=0,"",IF(Library!R60&gt;0,Library!R60,Library!Q60))</f>
        <v/>
      </c>
    </row>
    <row r="60" spans="1:5" x14ac:dyDescent="0.3">
      <c r="A60" t="str">
        <f>IF(LEN(Library!D61)=0,"",Library!D61)</f>
        <v/>
      </c>
      <c r="B60" t="str">
        <f>IF(LEN(Library!E61)=0,"",Library!E61)</f>
        <v/>
      </c>
      <c r="C60" t="str">
        <f>IF(LEN(Library!F61)=0,"",Library!F61)</f>
        <v/>
      </c>
      <c r="D60" t="str">
        <f>IF(LEN(Library!D61)=0,"",CONCATENATE("barcode",Library!H61))</f>
        <v/>
      </c>
      <c r="E60" t="str">
        <f>IF(LEN(Library!Q61)=0,"",IF(Library!R61&gt;0,Library!R61,Library!Q61))</f>
        <v/>
      </c>
    </row>
    <row r="61" spans="1:5" x14ac:dyDescent="0.3">
      <c r="A61" t="str">
        <f>IF(LEN(Library!D62)=0,"",Library!D62)</f>
        <v/>
      </c>
      <c r="B61" t="str">
        <f>IF(LEN(Library!E62)=0,"",Library!E62)</f>
        <v/>
      </c>
      <c r="C61" t="str">
        <f>IF(LEN(Library!F62)=0,"",Library!F62)</f>
        <v/>
      </c>
      <c r="D61" t="str">
        <f>IF(LEN(Library!D62)=0,"",CONCATENATE("barcode",Library!H62))</f>
        <v/>
      </c>
      <c r="E61" t="str">
        <f>IF(LEN(Library!Q62)=0,"",IF(Library!R62&gt;0,Library!R62,Library!Q62))</f>
        <v/>
      </c>
    </row>
    <row r="62" spans="1:5" x14ac:dyDescent="0.3">
      <c r="A62" t="str">
        <f>IF(LEN(Library!D63)=0,"",Library!D63)</f>
        <v/>
      </c>
      <c r="B62" t="str">
        <f>IF(LEN(Library!E63)=0,"",Library!E63)</f>
        <v/>
      </c>
      <c r="C62" t="str">
        <f>IF(LEN(Library!F63)=0,"",Library!F63)</f>
        <v/>
      </c>
      <c r="D62" t="str">
        <f>IF(LEN(Library!D63)=0,"",CONCATENATE("barcode",Library!H63))</f>
        <v/>
      </c>
      <c r="E62" t="str">
        <f>IF(LEN(Library!Q63)=0,"",IF(Library!R63&gt;0,Library!R63,Library!Q63))</f>
        <v/>
      </c>
    </row>
    <row r="63" spans="1:5" x14ac:dyDescent="0.3">
      <c r="A63" t="str">
        <f>IF(LEN(Library!D64)=0,"",Library!D64)</f>
        <v/>
      </c>
      <c r="B63" t="str">
        <f>IF(LEN(Library!E64)=0,"",Library!E64)</f>
        <v/>
      </c>
      <c r="C63" t="str">
        <f>IF(LEN(Library!F64)=0,"",Library!F64)</f>
        <v/>
      </c>
      <c r="D63" t="str">
        <f>IF(LEN(Library!D64)=0,"",CONCATENATE("barcode",Library!H64))</f>
        <v/>
      </c>
      <c r="E63" t="str">
        <f>IF(LEN(Library!Q64)=0,"",IF(Library!R64&gt;0,Library!R64,Library!Q64))</f>
        <v/>
      </c>
    </row>
    <row r="64" spans="1:5" x14ac:dyDescent="0.3">
      <c r="A64" t="str">
        <f>IF(LEN(Library!D65)=0,"",Library!D65)</f>
        <v/>
      </c>
      <c r="B64" t="str">
        <f>IF(LEN(Library!E65)=0,"",Library!E65)</f>
        <v/>
      </c>
      <c r="C64" t="str">
        <f>IF(LEN(Library!F65)=0,"",Library!F65)</f>
        <v/>
      </c>
      <c r="D64" t="str">
        <f>IF(LEN(Library!D65)=0,"",CONCATENATE("barcode",Library!H65))</f>
        <v/>
      </c>
      <c r="E64" t="str">
        <f>IF(LEN(Library!Q65)=0,"",IF(Library!R65&gt;0,Library!R65,Library!Q65))</f>
        <v/>
      </c>
    </row>
    <row r="65" spans="1:5" x14ac:dyDescent="0.3">
      <c r="A65" t="str">
        <f>IF(LEN(Library!D66)=0,"",Library!D66)</f>
        <v/>
      </c>
      <c r="B65" t="str">
        <f>IF(LEN(Library!E66)=0,"",Library!E66)</f>
        <v/>
      </c>
      <c r="C65" t="str">
        <f>IF(LEN(Library!F66)=0,"",Library!F66)</f>
        <v/>
      </c>
      <c r="D65" t="str">
        <f>IF(LEN(Library!D66)=0,"",CONCATENATE("barcode",Library!H66))</f>
        <v/>
      </c>
      <c r="E65" t="str">
        <f>IF(LEN(Library!Q66)=0,"",IF(Library!R66&gt;0,Library!R66,Library!Q66))</f>
        <v/>
      </c>
    </row>
    <row r="66" spans="1:5" x14ac:dyDescent="0.3">
      <c r="A66" t="str">
        <f>IF(LEN(Library!D67)=0,"",Library!D67)</f>
        <v/>
      </c>
      <c r="B66" t="str">
        <f>IF(LEN(Library!E67)=0,"",Library!E67)</f>
        <v/>
      </c>
      <c r="C66" t="str">
        <f>IF(LEN(Library!F67)=0,"",Library!F67)</f>
        <v/>
      </c>
      <c r="D66" t="str">
        <f>IF(LEN(Library!D67)=0,"",CONCATENATE("barcode",Library!H67))</f>
        <v/>
      </c>
      <c r="E66" t="str">
        <f>IF(LEN(Library!Q67)=0,"",IF(Library!R67&gt;0,Library!R67,Library!Q67))</f>
        <v/>
      </c>
    </row>
    <row r="67" spans="1:5" x14ac:dyDescent="0.3">
      <c r="A67" t="str">
        <f>IF(LEN(Library!D68)=0,"",Library!D68)</f>
        <v/>
      </c>
      <c r="B67" t="str">
        <f>IF(LEN(Library!E68)=0,"",Library!E68)</f>
        <v/>
      </c>
      <c r="C67" t="str">
        <f>IF(LEN(Library!F68)=0,"",Library!F68)</f>
        <v/>
      </c>
      <c r="D67" t="str">
        <f>IF(LEN(Library!D68)=0,"",CONCATENATE("barcode",Library!H68))</f>
        <v/>
      </c>
      <c r="E67" t="str">
        <f>IF(LEN(Library!Q68)=0,"",IF(Library!R68&gt;0,Library!R68,Library!Q68))</f>
        <v/>
      </c>
    </row>
    <row r="68" spans="1:5" x14ac:dyDescent="0.3">
      <c r="A68" t="str">
        <f>IF(LEN(Library!D69)=0,"",Library!D69)</f>
        <v/>
      </c>
      <c r="B68" t="str">
        <f>IF(LEN(Library!E69)=0,"",Library!E69)</f>
        <v/>
      </c>
      <c r="C68" t="str">
        <f>IF(LEN(Library!F69)=0,"",Library!F69)</f>
        <v/>
      </c>
      <c r="D68" t="str">
        <f>IF(LEN(Library!D69)=0,"",CONCATENATE("barcode",Library!H69))</f>
        <v/>
      </c>
      <c r="E68" t="str">
        <f>IF(LEN(Library!Q69)=0,"",IF(Library!R69&gt;0,Library!R69,Library!Q69))</f>
        <v/>
      </c>
    </row>
    <row r="69" spans="1:5" x14ac:dyDescent="0.3">
      <c r="A69" t="str">
        <f>IF(LEN(Library!D70)=0,"",Library!D70)</f>
        <v/>
      </c>
      <c r="B69" t="str">
        <f>IF(LEN(Library!E70)=0,"",Library!E70)</f>
        <v/>
      </c>
      <c r="C69" t="str">
        <f>IF(LEN(Library!F70)=0,"",Library!F70)</f>
        <v/>
      </c>
      <c r="D69" t="str">
        <f>IF(LEN(Library!D70)=0,"",CONCATENATE("barcode",Library!H70))</f>
        <v/>
      </c>
      <c r="E69" t="str">
        <f>IF(LEN(Library!Q70)=0,"",IF(Library!R70&gt;0,Library!R70,Library!Q70))</f>
        <v/>
      </c>
    </row>
    <row r="70" spans="1:5" x14ac:dyDescent="0.3">
      <c r="A70" t="str">
        <f>IF(LEN(Library!D71)=0,"",Library!D71)</f>
        <v/>
      </c>
      <c r="B70" t="str">
        <f>IF(LEN(Library!E71)=0,"",Library!E71)</f>
        <v/>
      </c>
      <c r="C70" t="str">
        <f>IF(LEN(Library!F71)=0,"",Library!F71)</f>
        <v/>
      </c>
      <c r="D70" t="str">
        <f>IF(LEN(Library!D71)=0,"",CONCATENATE("barcode",Library!H71))</f>
        <v/>
      </c>
      <c r="E70" t="str">
        <f>IF(LEN(Library!Q71)=0,"",IF(Library!R71&gt;0,Library!R71,Library!Q71))</f>
        <v/>
      </c>
    </row>
    <row r="71" spans="1:5" x14ac:dyDescent="0.3">
      <c r="A71" t="str">
        <f>IF(LEN(Library!D72)=0,"",Library!D72)</f>
        <v/>
      </c>
      <c r="B71" t="str">
        <f>IF(LEN(Library!E72)=0,"",Library!E72)</f>
        <v/>
      </c>
      <c r="C71" t="str">
        <f>IF(LEN(Library!F72)=0,"",Library!F72)</f>
        <v/>
      </c>
      <c r="D71" t="str">
        <f>IF(LEN(Library!D72)=0,"",CONCATENATE("barcode",Library!H72))</f>
        <v/>
      </c>
      <c r="E71" t="str">
        <f>IF(LEN(Library!Q72)=0,"",IF(Library!R72&gt;0,Library!R72,Library!Q72))</f>
        <v/>
      </c>
    </row>
    <row r="72" spans="1:5" x14ac:dyDescent="0.3">
      <c r="A72" t="str">
        <f>IF(LEN(Library!D73)=0,"",Library!D73)</f>
        <v/>
      </c>
      <c r="B72" t="str">
        <f>IF(LEN(Library!E73)=0,"",Library!E73)</f>
        <v/>
      </c>
      <c r="C72" t="str">
        <f>IF(LEN(Library!F73)=0,"",Library!F73)</f>
        <v/>
      </c>
      <c r="D72" t="str">
        <f>IF(LEN(Library!D73)=0,"",CONCATENATE("barcode",Library!H73))</f>
        <v/>
      </c>
      <c r="E72" t="str">
        <f>IF(LEN(Library!Q73)=0,"",IF(Library!R73&gt;0,Library!R73,Library!Q73))</f>
        <v/>
      </c>
    </row>
    <row r="73" spans="1:5" x14ac:dyDescent="0.3">
      <c r="A73" t="str">
        <f>IF(LEN(Library!D74)=0,"",Library!D74)</f>
        <v/>
      </c>
      <c r="B73" t="str">
        <f>IF(LEN(Library!E74)=0,"",Library!E74)</f>
        <v/>
      </c>
      <c r="C73" t="str">
        <f>IF(LEN(Library!F74)=0,"",Library!F74)</f>
        <v/>
      </c>
      <c r="D73" t="str">
        <f>IF(LEN(Library!D74)=0,"",CONCATENATE("barcode",Library!H74))</f>
        <v/>
      </c>
      <c r="E73" t="str">
        <f>IF(LEN(Library!Q74)=0,"",IF(Library!R74&gt;0,Library!R74,Library!Q74))</f>
        <v/>
      </c>
    </row>
    <row r="74" spans="1:5" x14ac:dyDescent="0.3">
      <c r="A74" t="str">
        <f>IF(LEN(Library!D75)=0,"",Library!D75)</f>
        <v/>
      </c>
      <c r="B74" t="str">
        <f>IF(LEN(Library!E75)=0,"",Library!E75)</f>
        <v/>
      </c>
      <c r="C74" t="str">
        <f>IF(LEN(Library!F75)=0,"",Library!F75)</f>
        <v/>
      </c>
      <c r="D74" t="str">
        <f>IF(LEN(Library!D75)=0,"",CONCATENATE("barcode",Library!H75))</f>
        <v/>
      </c>
      <c r="E74" t="str">
        <f>IF(LEN(Library!Q75)=0,"",IF(Library!R75&gt;0,Library!R75,Library!Q75))</f>
        <v/>
      </c>
    </row>
    <row r="75" spans="1:5" x14ac:dyDescent="0.3">
      <c r="A75" t="str">
        <f>IF(LEN(Library!D76)=0,"",Library!D76)</f>
        <v/>
      </c>
      <c r="B75" t="str">
        <f>IF(LEN(Library!E76)=0,"",Library!E76)</f>
        <v/>
      </c>
      <c r="C75" t="str">
        <f>IF(LEN(Library!F76)=0,"",Library!F76)</f>
        <v/>
      </c>
      <c r="D75" t="str">
        <f>IF(LEN(Library!D76)=0,"",CONCATENATE("barcode",Library!H76))</f>
        <v/>
      </c>
      <c r="E75" t="str">
        <f>IF(LEN(Library!Q76)=0,"",IF(Library!R76&gt;0,Library!R76,Library!Q76))</f>
        <v/>
      </c>
    </row>
    <row r="76" spans="1:5" x14ac:dyDescent="0.3">
      <c r="A76" t="str">
        <f>IF(LEN(Library!D77)=0,"",Library!D77)</f>
        <v/>
      </c>
      <c r="B76" t="str">
        <f>IF(LEN(Library!E77)=0,"",Library!E77)</f>
        <v/>
      </c>
      <c r="C76" t="str">
        <f>IF(LEN(Library!F77)=0,"",Library!F77)</f>
        <v/>
      </c>
      <c r="D76" t="str">
        <f>IF(LEN(Library!D77)=0,"",CONCATENATE("barcode",Library!H77))</f>
        <v/>
      </c>
      <c r="E76" t="str">
        <f>IF(LEN(Library!Q77)=0,"",IF(Library!R77&gt;0,Library!R77,Library!Q77))</f>
        <v/>
      </c>
    </row>
    <row r="77" spans="1:5" x14ac:dyDescent="0.3">
      <c r="A77" t="str">
        <f>IF(LEN(Library!D78)=0,"",Library!D78)</f>
        <v/>
      </c>
      <c r="B77" t="str">
        <f>IF(LEN(Library!E78)=0,"",Library!E78)</f>
        <v/>
      </c>
      <c r="C77" t="str">
        <f>IF(LEN(Library!F78)=0,"",Library!F78)</f>
        <v/>
      </c>
      <c r="D77" t="str">
        <f>IF(LEN(Library!D78)=0,"",CONCATENATE("barcode",Library!H78))</f>
        <v/>
      </c>
      <c r="E77" t="str">
        <f>IF(LEN(Library!Q78)=0,"",IF(Library!R78&gt;0,Library!R78,Library!Q78))</f>
        <v/>
      </c>
    </row>
    <row r="78" spans="1:5" x14ac:dyDescent="0.3">
      <c r="A78" t="str">
        <f>IF(LEN(Library!D79)=0,"",Library!D79)</f>
        <v/>
      </c>
      <c r="B78" t="str">
        <f>IF(LEN(Library!E79)=0,"",Library!E79)</f>
        <v/>
      </c>
      <c r="C78" t="str">
        <f>IF(LEN(Library!F79)=0,"",Library!F79)</f>
        <v/>
      </c>
      <c r="D78" t="str">
        <f>IF(LEN(Library!D79)=0,"",CONCATENATE("barcode",Library!H79))</f>
        <v/>
      </c>
      <c r="E78" t="str">
        <f>IF(LEN(Library!Q79)=0,"",IF(Library!R79&gt;0,Library!R79,Library!Q79))</f>
        <v/>
      </c>
    </row>
    <row r="79" spans="1:5" x14ac:dyDescent="0.3">
      <c r="A79" t="str">
        <f>IF(LEN(Library!D80)=0,"",Library!D80)</f>
        <v/>
      </c>
      <c r="B79" t="str">
        <f>IF(LEN(Library!E80)=0,"",Library!E80)</f>
        <v/>
      </c>
      <c r="C79" t="str">
        <f>IF(LEN(Library!F80)=0,"",Library!F80)</f>
        <v/>
      </c>
      <c r="D79" t="str">
        <f>IF(LEN(Library!D80)=0,"",CONCATENATE("barcode",Library!H80))</f>
        <v/>
      </c>
      <c r="E79" t="str">
        <f>IF(LEN(Library!Q80)=0,"",IF(Library!R80&gt;0,Library!R80,Library!Q80))</f>
        <v/>
      </c>
    </row>
    <row r="80" spans="1:5" x14ac:dyDescent="0.3">
      <c r="A80" t="str">
        <f>IF(LEN(Library!D81)=0,"",Library!D81)</f>
        <v/>
      </c>
      <c r="B80" t="str">
        <f>IF(LEN(Library!E81)=0,"",Library!E81)</f>
        <v/>
      </c>
      <c r="C80" t="str">
        <f>IF(LEN(Library!F81)=0,"",Library!F81)</f>
        <v/>
      </c>
      <c r="D80" t="str">
        <f>IF(LEN(Library!D81)=0,"",CONCATENATE("barcode",Library!H81))</f>
        <v/>
      </c>
      <c r="E80" t="str">
        <f>IF(LEN(Library!Q81)=0,"",IF(Library!R81&gt;0,Library!R81,Library!Q81))</f>
        <v/>
      </c>
    </row>
    <row r="81" spans="1:5" x14ac:dyDescent="0.3">
      <c r="A81" t="str">
        <f>IF(LEN(Library!D82)=0,"",Library!D82)</f>
        <v/>
      </c>
      <c r="B81" t="str">
        <f>IF(LEN(Library!E82)=0,"",Library!E82)</f>
        <v/>
      </c>
      <c r="C81" t="str">
        <f>IF(LEN(Library!F82)=0,"",Library!F82)</f>
        <v/>
      </c>
      <c r="D81" t="str">
        <f>IF(LEN(Library!D82)=0,"",CONCATENATE("barcode",Library!H82))</f>
        <v/>
      </c>
      <c r="E81" t="str">
        <f>IF(LEN(Library!Q82)=0,"",IF(Library!R82&gt;0,Library!R82,Library!Q82))</f>
        <v/>
      </c>
    </row>
    <row r="82" spans="1:5" x14ac:dyDescent="0.3">
      <c r="A82" t="str">
        <f>IF(LEN(Library!D83)=0,"",Library!D83)</f>
        <v/>
      </c>
      <c r="B82" t="str">
        <f>IF(LEN(Library!E83)=0,"",Library!E83)</f>
        <v/>
      </c>
      <c r="C82" t="str">
        <f>IF(LEN(Library!F83)=0,"",Library!F83)</f>
        <v/>
      </c>
      <c r="D82" t="str">
        <f>IF(LEN(Library!D83)=0,"",CONCATENATE("barcode",Library!H83))</f>
        <v/>
      </c>
      <c r="E82" t="str">
        <f>IF(LEN(Library!Q83)=0,"",IF(Library!R83&gt;0,Library!R83,Library!Q83))</f>
        <v/>
      </c>
    </row>
    <row r="83" spans="1:5" x14ac:dyDescent="0.3">
      <c r="A83" t="str">
        <f>IF(LEN(Library!D84)=0,"",Library!D84)</f>
        <v/>
      </c>
      <c r="B83" t="str">
        <f>IF(LEN(Library!E84)=0,"",Library!E84)</f>
        <v/>
      </c>
      <c r="C83" t="str">
        <f>IF(LEN(Library!F84)=0,"",Library!F84)</f>
        <v/>
      </c>
      <c r="D83" t="str">
        <f>IF(LEN(Library!D84)=0,"",CONCATENATE("barcode",Library!H84))</f>
        <v/>
      </c>
      <c r="E83" t="str">
        <f>IF(LEN(Library!Q84)=0,"",IF(Library!R84&gt;0,Library!R84,Library!Q84))</f>
        <v/>
      </c>
    </row>
    <row r="84" spans="1:5" x14ac:dyDescent="0.3">
      <c r="A84" t="str">
        <f>IF(LEN(Library!D85)=0,"",Library!D85)</f>
        <v/>
      </c>
      <c r="B84" t="str">
        <f>IF(LEN(Library!E85)=0,"",Library!E85)</f>
        <v/>
      </c>
      <c r="C84" t="str">
        <f>IF(LEN(Library!F85)=0,"",Library!F85)</f>
        <v/>
      </c>
      <c r="D84" t="str">
        <f>IF(LEN(Library!D85)=0,"",CONCATENATE("barcode",Library!H85))</f>
        <v/>
      </c>
      <c r="E84" t="str">
        <f>IF(LEN(Library!Q85)=0,"",IF(Library!R85&gt;0,Library!R85,Library!Q85))</f>
        <v/>
      </c>
    </row>
    <row r="85" spans="1:5" x14ac:dyDescent="0.3">
      <c r="A85" t="str">
        <f>IF(LEN(Library!D86)=0,"",Library!D86)</f>
        <v/>
      </c>
      <c r="B85" t="str">
        <f>IF(LEN(Library!E86)=0,"",Library!E86)</f>
        <v/>
      </c>
      <c r="C85" t="str">
        <f>IF(LEN(Library!F86)=0,"",Library!F86)</f>
        <v/>
      </c>
      <c r="D85" t="str">
        <f>IF(LEN(Library!D86)=0,"",CONCATENATE("barcode",Library!H86))</f>
        <v/>
      </c>
      <c r="E85" t="str">
        <f>IF(LEN(Library!Q86)=0,"",IF(Library!R86&gt;0,Library!R86,Library!Q86))</f>
        <v/>
      </c>
    </row>
    <row r="86" spans="1:5" x14ac:dyDescent="0.3">
      <c r="A86" t="str">
        <f>IF(LEN(Library!D87)=0,"",Library!D87)</f>
        <v/>
      </c>
      <c r="B86" t="str">
        <f>IF(LEN(Library!E87)=0,"",Library!E87)</f>
        <v/>
      </c>
      <c r="C86" t="str">
        <f>IF(LEN(Library!F87)=0,"",Library!F87)</f>
        <v/>
      </c>
      <c r="D86" t="str">
        <f>IF(LEN(Library!D87)=0,"",CONCATENATE("barcode",Library!H87))</f>
        <v/>
      </c>
      <c r="E86" t="str">
        <f>IF(LEN(Library!Q87)=0,"",IF(Library!R87&gt;0,Library!R87,Library!Q87))</f>
        <v/>
      </c>
    </row>
    <row r="87" spans="1:5" x14ac:dyDescent="0.3">
      <c r="A87" t="str">
        <f>IF(LEN(Library!D88)=0,"",Library!D88)</f>
        <v/>
      </c>
      <c r="B87" t="str">
        <f>IF(LEN(Library!E88)=0,"",Library!E88)</f>
        <v/>
      </c>
      <c r="C87" t="str">
        <f>IF(LEN(Library!F88)=0,"",Library!F88)</f>
        <v/>
      </c>
      <c r="D87" t="str">
        <f>IF(LEN(Library!D88)=0,"",CONCATENATE("barcode",Library!H88))</f>
        <v/>
      </c>
      <c r="E87" t="str">
        <f>IF(LEN(Library!Q88)=0,"",IF(Library!R88&gt;0,Library!R88,Library!Q88))</f>
        <v/>
      </c>
    </row>
    <row r="88" spans="1:5" x14ac:dyDescent="0.3">
      <c r="A88" t="str">
        <f>IF(LEN(Library!D89)=0,"",Library!D89)</f>
        <v/>
      </c>
      <c r="B88" t="str">
        <f>IF(LEN(Library!E89)=0,"",Library!E89)</f>
        <v/>
      </c>
      <c r="C88" t="str">
        <f>IF(LEN(Library!F89)=0,"",Library!F89)</f>
        <v/>
      </c>
      <c r="D88" t="str">
        <f>IF(LEN(Library!D89)=0,"",CONCATENATE("barcode",Library!H89))</f>
        <v/>
      </c>
      <c r="E88" t="str">
        <f>IF(LEN(Library!Q89)=0,"",IF(Library!R89&gt;0,Library!R89,Library!Q89))</f>
        <v/>
      </c>
    </row>
    <row r="89" spans="1:5" x14ac:dyDescent="0.3">
      <c r="A89" t="str">
        <f>IF(LEN(Library!D90)=0,"",Library!D90)</f>
        <v/>
      </c>
      <c r="B89" t="str">
        <f>IF(LEN(Library!E90)=0,"",Library!E90)</f>
        <v/>
      </c>
      <c r="C89" t="str">
        <f>IF(LEN(Library!F90)=0,"",Library!F90)</f>
        <v/>
      </c>
      <c r="D89" t="str">
        <f>IF(LEN(Library!D90)=0,"",CONCATENATE("barcode",Library!H90))</f>
        <v/>
      </c>
      <c r="E89" t="str">
        <f>IF(LEN(Library!Q90)=0,"",IF(Library!R90&gt;0,Library!R90,Library!Q90))</f>
        <v/>
      </c>
    </row>
    <row r="90" spans="1:5" x14ac:dyDescent="0.3">
      <c r="A90" t="str">
        <f>IF(LEN(Library!D91)=0,"",Library!D91)</f>
        <v/>
      </c>
      <c r="B90" t="str">
        <f>IF(LEN(Library!E91)=0,"",Library!E91)</f>
        <v/>
      </c>
      <c r="C90" t="str">
        <f>IF(LEN(Library!F91)=0,"",Library!F91)</f>
        <v/>
      </c>
      <c r="D90" t="str">
        <f>IF(LEN(Library!D91)=0,"",CONCATENATE("barcode",Library!H91))</f>
        <v/>
      </c>
      <c r="E90" t="str">
        <f>IF(LEN(Library!Q91)=0,"",IF(Library!R91&gt;0,Library!R91,Library!Q91))</f>
        <v/>
      </c>
    </row>
    <row r="91" spans="1:5" x14ac:dyDescent="0.3">
      <c r="A91" t="str">
        <f>IF(LEN(Library!D92)=0,"",Library!D92)</f>
        <v/>
      </c>
      <c r="B91" t="str">
        <f>IF(LEN(Library!E92)=0,"",Library!E92)</f>
        <v/>
      </c>
      <c r="C91" t="str">
        <f>IF(LEN(Library!F92)=0,"",Library!F92)</f>
        <v/>
      </c>
      <c r="D91" t="str">
        <f>IF(LEN(Library!D92)=0,"",CONCATENATE("barcode",Library!H92))</f>
        <v/>
      </c>
      <c r="E91" t="str">
        <f>IF(LEN(Library!Q92)=0,"",IF(Library!R92&gt;0,Library!R92,Library!Q92))</f>
        <v/>
      </c>
    </row>
    <row r="92" spans="1:5" x14ac:dyDescent="0.3">
      <c r="A92" t="str">
        <f>IF(LEN(Library!D93)=0,"",Library!D93)</f>
        <v/>
      </c>
      <c r="B92" t="str">
        <f>IF(LEN(Library!E93)=0,"",Library!E93)</f>
        <v/>
      </c>
      <c r="C92" t="str">
        <f>IF(LEN(Library!F93)=0,"",Library!F93)</f>
        <v/>
      </c>
      <c r="D92" t="str">
        <f>IF(LEN(Library!D93)=0,"",CONCATENATE("barcode",Library!H93))</f>
        <v/>
      </c>
      <c r="E92" t="str">
        <f>IF(LEN(Library!Q93)=0,"",IF(Library!R93&gt;0,Library!R93,Library!Q93))</f>
        <v/>
      </c>
    </row>
    <row r="93" spans="1:5" x14ac:dyDescent="0.3">
      <c r="A93" t="str">
        <f>IF(LEN(Library!D94)=0,"",Library!D94)</f>
        <v/>
      </c>
      <c r="B93" t="str">
        <f>IF(LEN(Library!E94)=0,"",Library!E94)</f>
        <v/>
      </c>
      <c r="C93" t="str">
        <f>IF(LEN(Library!F94)=0,"",Library!F94)</f>
        <v/>
      </c>
      <c r="D93" t="str">
        <f>IF(LEN(Library!D94)=0,"",CONCATENATE("barcode",Library!H94))</f>
        <v/>
      </c>
      <c r="E93" t="str">
        <f>IF(LEN(Library!Q94)=0,"",IF(Library!R94&gt;0,Library!R94,Library!Q94))</f>
        <v/>
      </c>
    </row>
    <row r="94" spans="1:5" x14ac:dyDescent="0.3">
      <c r="A94" t="str">
        <f>IF(LEN(Library!D95)=0,"",Library!D95)</f>
        <v/>
      </c>
      <c r="B94" t="str">
        <f>IF(LEN(Library!E95)=0,"",Library!E95)</f>
        <v/>
      </c>
      <c r="C94" t="str">
        <f>IF(LEN(Library!F95)=0,"",Library!F95)</f>
        <v/>
      </c>
      <c r="D94" t="str">
        <f>IF(LEN(Library!D95)=0,"",CONCATENATE("barcode",Library!H95))</f>
        <v/>
      </c>
      <c r="E94" t="str">
        <f>IF(LEN(Library!Q95)=0,"",IF(Library!R95&gt;0,Library!R95,Library!Q95))</f>
        <v/>
      </c>
    </row>
    <row r="95" spans="1:5" x14ac:dyDescent="0.3">
      <c r="A95" t="str">
        <f>IF(LEN(Library!D96)=0,"",Library!D96)</f>
        <v/>
      </c>
      <c r="B95" t="str">
        <f>IF(LEN(Library!E96)=0,"",Library!E96)</f>
        <v/>
      </c>
      <c r="C95" t="str">
        <f>IF(LEN(Library!F96)=0,"",Library!F96)</f>
        <v/>
      </c>
      <c r="D95" t="str">
        <f>IF(LEN(Library!D96)=0,"",CONCATENATE("barcode",Library!H96))</f>
        <v/>
      </c>
      <c r="E95" t="str">
        <f>IF(LEN(Library!Q96)=0,"",IF(Library!R96&gt;0,Library!R96,Library!Q96))</f>
        <v/>
      </c>
    </row>
    <row r="96" spans="1:5" x14ac:dyDescent="0.3">
      <c r="A96" t="str">
        <f>IF(LEN(Library!D97)=0,"",Library!D97)</f>
        <v/>
      </c>
      <c r="B96" t="str">
        <f>IF(LEN(Library!E97)=0,"",Library!E97)</f>
        <v/>
      </c>
      <c r="C96" t="str">
        <f>IF(LEN(Library!F97)=0,"",Library!F97)</f>
        <v/>
      </c>
      <c r="D96" t="str">
        <f>IF(LEN(Library!D97)=0,"",CONCATENATE("barcode",Library!H97))</f>
        <v/>
      </c>
      <c r="E96" t="str">
        <f>IF(LEN(Library!Q97)=0,"",IF(Library!R97&gt;0,Library!R97,Library!Q97))</f>
        <v/>
      </c>
    </row>
    <row r="97" spans="1:5" x14ac:dyDescent="0.3">
      <c r="A97" t="str">
        <f>IF(LEN(Library!D98)=0,"",Library!D98)</f>
        <v/>
      </c>
      <c r="B97" t="str">
        <f>IF(LEN(Library!E98)=0,"",Library!E98)</f>
        <v/>
      </c>
      <c r="C97" t="str">
        <f>IF(LEN(Library!F98)=0,"",Library!F98)</f>
        <v/>
      </c>
      <c r="D97" t="str">
        <f>IF(LEN(Library!D98)=0,"",CONCATENATE("barcode",Library!H98))</f>
        <v/>
      </c>
      <c r="E97" t="str">
        <f>IF(LEN(Library!Q98)=0,"",IF(Library!R98&gt;0,Library!R98,Library!Q98))</f>
        <v/>
      </c>
    </row>
  </sheetData>
  <sheetProtection algorithmName="SHA-512" hashValue="kriWA8ZgVzpmGoR8UOex/7pzIxby7pZji6z7QOJjJ9+vxeE1yy9Ilx/UoFTXeZ+pGtQEC9T/cE1K6zxBWaCd9w==" saltValue="ruLug2gWgGilauobeptLdA==" spinCount="100000" sheet="1" objects="1" scenarios="1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25</vt:i4>
      </vt:variant>
    </vt:vector>
  </HeadingPairs>
  <TitlesOfParts>
    <vt:vector size="30" baseType="lpstr">
      <vt:lpstr>Assay</vt:lpstr>
      <vt:lpstr>Library</vt:lpstr>
      <vt:lpstr>Reference</vt:lpstr>
      <vt:lpstr>expt_metadata</vt:lpstr>
      <vt:lpstr>rxn_metadata</vt:lpstr>
      <vt:lpstr>adaptlig_dna_maxvol</vt:lpstr>
      <vt:lpstr>adaptlig_rxn_vol</vt:lpstr>
      <vt:lpstr>adaptlig_targetmass</vt:lpstr>
      <vt:lpstr>DNAconc_library</vt:lpstr>
      <vt:lpstr>DNAconc_pooled</vt:lpstr>
      <vt:lpstr>endrepair_maxvol</vt:lpstr>
      <vt:lpstr>endrepair_targetmass</vt:lpstr>
      <vt:lpstr>exp_date</vt:lpstr>
      <vt:lpstr>exp_id</vt:lpstr>
      <vt:lpstr>exp_notes</vt:lpstr>
      <vt:lpstr>exp_rxns</vt:lpstr>
      <vt:lpstr>exp_subtype</vt:lpstr>
      <vt:lpstr>exp_summary</vt:lpstr>
      <vt:lpstr>exp_type</vt:lpstr>
      <vt:lpstr>exp_version</vt:lpstr>
      <vt:lpstr>flowcell_checkpores</vt:lpstr>
      <vt:lpstr>flowcell_maxvol</vt:lpstr>
      <vt:lpstr>flowcell_targetmass</vt:lpstr>
      <vt:lpstr>library_washbuffer</vt:lpstr>
      <vt:lpstr>Minimum_final_pooled_DNA_conc</vt:lpstr>
      <vt:lpstr>missing_qc_resolution</vt:lpstr>
      <vt:lpstr>Post_PCR_target_DNA_conc</vt:lpstr>
      <vt:lpstr>user_initials</vt:lpstr>
      <vt:lpstr>user_name</vt:lpstr>
      <vt:lpstr>vol_calc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Dan Bridges</cp:lastModifiedBy>
  <cp:revision>2</cp:revision>
  <cp:lastPrinted>2024-09-02T17:42:50Z</cp:lastPrinted>
  <dcterms:created xsi:type="dcterms:W3CDTF">2022-03-21T12:22:51Z</dcterms:created>
  <dcterms:modified xsi:type="dcterms:W3CDTF">2025-11-07T20:24:17Z</dcterms:modified>
  <dc:language>en-GB</dc:language>
</cp:coreProperties>
</file>