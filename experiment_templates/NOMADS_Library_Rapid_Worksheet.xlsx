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git\nomadic\experiment_templates\"/>
    </mc:Choice>
  </mc:AlternateContent>
  <xr:revisionPtr revIDLastSave="0" documentId="13_ncr:1_{C3DD1139-8179-48E7-84FE-B3E4127EFE5E}" xr6:coauthVersionLast="47" xr6:coauthVersionMax="47" xr10:uidLastSave="{00000000-0000-0000-0000-000000000000}"/>
  <bookViews>
    <workbookView xWindow="-108" yWindow="-108" windowWidth="27288" windowHeight="17532" tabRatio="500" activeTab="2" xr2:uid="{00000000-000D-0000-FFFF-FFFF00000000}"/>
  </bookViews>
  <sheets>
    <sheet name="Assay" sheetId="1" r:id="rId1"/>
    <sheet name="Library" sheetId="2" r:id="rId2"/>
    <sheet name="Reference" sheetId="4" r:id="rId3"/>
    <sheet name="expt_metadata" sheetId="5" state="hidden" r:id="rId4"/>
    <sheet name="rxn_metadata" sheetId="6" state="hidden" r:id="rId5"/>
  </sheets>
  <definedNames>
    <definedName name="adaptlig_maxvol_ul">Reference!$B$21</definedName>
    <definedName name="adaptlig_rxn_vol">Assay!$F$26</definedName>
    <definedName name="Avg_Per_plate">Reference!$E$20</definedName>
    <definedName name="DNAconc_pooled">Assay!$D$26</definedName>
    <definedName name="endrepair_maxvol">Reference!$B$19</definedName>
    <definedName name="exp_date">Assay!$C$2</definedName>
    <definedName name="exp_id">Assay!$C$7</definedName>
    <definedName name="exp_notes">Assay!$C$11</definedName>
    <definedName name="exp_rxns">Assay!$C$10</definedName>
    <definedName name="exp_subtype">Reference!$B$28</definedName>
    <definedName name="exp_summary">Assay!$C$6</definedName>
    <definedName name="exp_type">Reference!$B$27</definedName>
    <definedName name="exp_version">Reference!$B$29</definedName>
    <definedName name="flowcell_checkpores">Assay!$C$34</definedName>
    <definedName name="flowcell_chemisty">Assay!#REF!</definedName>
    <definedName name="flowcell_id">Assay!#REF!</definedName>
    <definedName name="flowcell_maxvol">Reference!$B$22</definedName>
    <definedName name="flowcell_runduration">Assay!#REF!</definedName>
    <definedName name="flowcell_status">Assay!#REF!</definedName>
    <definedName name="flowcell_targetmass">Reference!$B$20</definedName>
    <definedName name="flowcell_usage_hrs">Assay!#REF!</definedName>
    <definedName name="library_dna_loaded_ul">Assay!$D$42</definedName>
    <definedName name="library_washbuffer">Assay!#REF!</definedName>
    <definedName name="Max_per_plate">Reference!$E$19</definedName>
    <definedName name="min_final_pooled_DNA_conc">Reference!$B$23</definedName>
    <definedName name="one_per_col">Reference!$E$18</definedName>
    <definedName name="pcr_product_max_vol">Reference!#REF!</definedName>
    <definedName name="pcr_product_targetmass_per_sample">Reference!$B$18</definedName>
    <definedName name="Post_PCR_target_DNA_conc">Reference!$B$17</definedName>
    <definedName name="seq_platform">Assay!#REF!</definedName>
    <definedName name="user_initials">Assay!$C$4</definedName>
    <definedName name="user_name">Assay!$C$3</definedName>
    <definedName name="vol_calc">Reference!$B$24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" i="1" l="1"/>
  <c r="C7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2" i="6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C10" i="1"/>
  <c r="A23" i="1" s="1"/>
  <c r="D42" i="1"/>
  <c r="A30" i="1"/>
  <c r="B23" i="4"/>
  <c r="A15" i="1"/>
  <c r="I2" i="5" l="1"/>
  <c r="B4" i="2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E2" i="5"/>
  <c r="A26" i="1"/>
  <c r="I6" i="2" l="1"/>
  <c r="L6" i="2" s="1"/>
  <c r="S6" i="2" s="1"/>
  <c r="Q6" i="2" l="1"/>
  <c r="M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3" i="2"/>
  <c r="F2" i="5"/>
  <c r="D2" i="5"/>
  <c r="L2" i="5" l="1"/>
  <c r="G2" i="5"/>
  <c r="C2" i="5"/>
  <c r="B2" i="5"/>
  <c r="T9" i="2" l="1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H2" i="5"/>
  <c r="T4" i="2"/>
  <c r="C9" i="1" l="1"/>
  <c r="T7" i="2"/>
  <c r="T5" i="2"/>
  <c r="T8" i="2"/>
  <c r="T6" i="2"/>
  <c r="T3" i="2"/>
  <c r="A2" i="5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I98" i="2"/>
  <c r="L98" i="2" s="1"/>
  <c r="S98" i="2" s="1"/>
  <c r="I97" i="2"/>
  <c r="L97" i="2" s="1"/>
  <c r="S97" i="2" s="1"/>
  <c r="I96" i="2"/>
  <c r="L96" i="2" s="1"/>
  <c r="S96" i="2" s="1"/>
  <c r="I95" i="2"/>
  <c r="L95" i="2" s="1"/>
  <c r="S95" i="2" s="1"/>
  <c r="I94" i="2"/>
  <c r="L94" i="2" s="1"/>
  <c r="S94" i="2" s="1"/>
  <c r="I93" i="2"/>
  <c r="L93" i="2" s="1"/>
  <c r="S93" i="2" s="1"/>
  <c r="I92" i="2"/>
  <c r="L92" i="2" s="1"/>
  <c r="S92" i="2" s="1"/>
  <c r="I91" i="2"/>
  <c r="L91" i="2" s="1"/>
  <c r="S91" i="2" s="1"/>
  <c r="I90" i="2"/>
  <c r="L90" i="2" s="1"/>
  <c r="S90" i="2" s="1"/>
  <c r="I89" i="2"/>
  <c r="L89" i="2" s="1"/>
  <c r="S89" i="2" s="1"/>
  <c r="I88" i="2"/>
  <c r="L88" i="2" s="1"/>
  <c r="S88" i="2" s="1"/>
  <c r="I87" i="2"/>
  <c r="L87" i="2" s="1"/>
  <c r="S87" i="2" s="1"/>
  <c r="I86" i="2"/>
  <c r="L86" i="2" s="1"/>
  <c r="S86" i="2" s="1"/>
  <c r="I85" i="2"/>
  <c r="L85" i="2" s="1"/>
  <c r="S85" i="2" s="1"/>
  <c r="I84" i="2"/>
  <c r="L84" i="2" s="1"/>
  <c r="S84" i="2" s="1"/>
  <c r="I83" i="2"/>
  <c r="L83" i="2" s="1"/>
  <c r="S83" i="2" s="1"/>
  <c r="I82" i="2"/>
  <c r="L82" i="2" s="1"/>
  <c r="S82" i="2" s="1"/>
  <c r="I81" i="2"/>
  <c r="L81" i="2" s="1"/>
  <c r="S81" i="2" s="1"/>
  <c r="I80" i="2"/>
  <c r="L80" i="2" s="1"/>
  <c r="S80" i="2" s="1"/>
  <c r="I79" i="2"/>
  <c r="L79" i="2" s="1"/>
  <c r="S79" i="2" s="1"/>
  <c r="I78" i="2"/>
  <c r="L78" i="2" s="1"/>
  <c r="S78" i="2" s="1"/>
  <c r="I77" i="2"/>
  <c r="L77" i="2" s="1"/>
  <c r="S77" i="2" s="1"/>
  <c r="I76" i="2"/>
  <c r="L76" i="2" s="1"/>
  <c r="S76" i="2" s="1"/>
  <c r="I75" i="2"/>
  <c r="L75" i="2" s="1"/>
  <c r="S75" i="2" s="1"/>
  <c r="I74" i="2"/>
  <c r="L74" i="2" s="1"/>
  <c r="S74" i="2" s="1"/>
  <c r="I73" i="2"/>
  <c r="L73" i="2" s="1"/>
  <c r="S73" i="2" s="1"/>
  <c r="I72" i="2"/>
  <c r="L72" i="2" s="1"/>
  <c r="S72" i="2" s="1"/>
  <c r="I71" i="2"/>
  <c r="L71" i="2" s="1"/>
  <c r="S71" i="2" s="1"/>
  <c r="I70" i="2"/>
  <c r="L70" i="2" s="1"/>
  <c r="S70" i="2" s="1"/>
  <c r="I69" i="2"/>
  <c r="L69" i="2" s="1"/>
  <c r="S69" i="2" s="1"/>
  <c r="I68" i="2"/>
  <c r="L68" i="2" s="1"/>
  <c r="S68" i="2" s="1"/>
  <c r="I67" i="2"/>
  <c r="L67" i="2" s="1"/>
  <c r="S67" i="2" s="1"/>
  <c r="I66" i="2"/>
  <c r="L66" i="2" s="1"/>
  <c r="S66" i="2" s="1"/>
  <c r="I65" i="2"/>
  <c r="L65" i="2" s="1"/>
  <c r="S65" i="2" s="1"/>
  <c r="I64" i="2"/>
  <c r="L64" i="2" s="1"/>
  <c r="S64" i="2" s="1"/>
  <c r="I63" i="2"/>
  <c r="L63" i="2" s="1"/>
  <c r="S63" i="2" s="1"/>
  <c r="I62" i="2"/>
  <c r="L62" i="2" s="1"/>
  <c r="S62" i="2" s="1"/>
  <c r="I61" i="2"/>
  <c r="L61" i="2" s="1"/>
  <c r="S61" i="2" s="1"/>
  <c r="I60" i="2"/>
  <c r="L60" i="2" s="1"/>
  <c r="S60" i="2" s="1"/>
  <c r="I59" i="2"/>
  <c r="L59" i="2" s="1"/>
  <c r="S59" i="2" s="1"/>
  <c r="I58" i="2"/>
  <c r="L58" i="2" s="1"/>
  <c r="S58" i="2" s="1"/>
  <c r="I57" i="2"/>
  <c r="L57" i="2" s="1"/>
  <c r="S57" i="2" s="1"/>
  <c r="I56" i="2"/>
  <c r="L56" i="2" s="1"/>
  <c r="S56" i="2" s="1"/>
  <c r="I55" i="2"/>
  <c r="L55" i="2" s="1"/>
  <c r="S55" i="2" s="1"/>
  <c r="I54" i="2"/>
  <c r="L54" i="2" s="1"/>
  <c r="S54" i="2" s="1"/>
  <c r="I53" i="2"/>
  <c r="L53" i="2" s="1"/>
  <c r="S53" i="2" s="1"/>
  <c r="I52" i="2"/>
  <c r="L52" i="2" s="1"/>
  <c r="S52" i="2" s="1"/>
  <c r="I51" i="2"/>
  <c r="L51" i="2" s="1"/>
  <c r="S51" i="2" s="1"/>
  <c r="I50" i="2"/>
  <c r="L50" i="2" s="1"/>
  <c r="S50" i="2" s="1"/>
  <c r="I49" i="2"/>
  <c r="L49" i="2" s="1"/>
  <c r="S49" i="2" s="1"/>
  <c r="I48" i="2"/>
  <c r="L48" i="2" s="1"/>
  <c r="S48" i="2" s="1"/>
  <c r="I47" i="2"/>
  <c r="L47" i="2" s="1"/>
  <c r="S47" i="2" s="1"/>
  <c r="I46" i="2"/>
  <c r="L46" i="2" s="1"/>
  <c r="S46" i="2" s="1"/>
  <c r="I45" i="2"/>
  <c r="L45" i="2" s="1"/>
  <c r="S45" i="2" s="1"/>
  <c r="I44" i="2"/>
  <c r="L44" i="2" s="1"/>
  <c r="S44" i="2" s="1"/>
  <c r="I43" i="2"/>
  <c r="L43" i="2" s="1"/>
  <c r="S43" i="2" s="1"/>
  <c r="I42" i="2"/>
  <c r="L42" i="2" s="1"/>
  <c r="S42" i="2" s="1"/>
  <c r="I41" i="2"/>
  <c r="L41" i="2" s="1"/>
  <c r="S41" i="2" s="1"/>
  <c r="I40" i="2"/>
  <c r="L40" i="2" s="1"/>
  <c r="S40" i="2" s="1"/>
  <c r="I39" i="2"/>
  <c r="L39" i="2" s="1"/>
  <c r="S39" i="2" s="1"/>
  <c r="I38" i="2"/>
  <c r="L38" i="2" s="1"/>
  <c r="S38" i="2" s="1"/>
  <c r="I37" i="2"/>
  <c r="L37" i="2" s="1"/>
  <c r="S37" i="2" s="1"/>
  <c r="I36" i="2"/>
  <c r="L36" i="2" s="1"/>
  <c r="S36" i="2" s="1"/>
  <c r="I35" i="2"/>
  <c r="L35" i="2" s="1"/>
  <c r="S35" i="2" s="1"/>
  <c r="I34" i="2"/>
  <c r="L34" i="2" s="1"/>
  <c r="S34" i="2" s="1"/>
  <c r="I33" i="2"/>
  <c r="L33" i="2" s="1"/>
  <c r="S33" i="2" s="1"/>
  <c r="I32" i="2"/>
  <c r="L32" i="2" s="1"/>
  <c r="S32" i="2" s="1"/>
  <c r="I31" i="2"/>
  <c r="L31" i="2" s="1"/>
  <c r="S31" i="2" s="1"/>
  <c r="I30" i="2"/>
  <c r="L30" i="2" s="1"/>
  <c r="S30" i="2" s="1"/>
  <c r="I29" i="2"/>
  <c r="L29" i="2" s="1"/>
  <c r="S29" i="2" s="1"/>
  <c r="I28" i="2"/>
  <c r="L28" i="2" s="1"/>
  <c r="S28" i="2" s="1"/>
  <c r="I27" i="2"/>
  <c r="L27" i="2" s="1"/>
  <c r="S27" i="2" s="1"/>
  <c r="I26" i="2"/>
  <c r="L26" i="2" s="1"/>
  <c r="S26" i="2" s="1"/>
  <c r="I25" i="2"/>
  <c r="L25" i="2" s="1"/>
  <c r="S25" i="2" s="1"/>
  <c r="I24" i="2"/>
  <c r="L24" i="2" s="1"/>
  <c r="S24" i="2" s="1"/>
  <c r="I23" i="2"/>
  <c r="L23" i="2" s="1"/>
  <c r="S23" i="2" s="1"/>
  <c r="I22" i="2"/>
  <c r="L22" i="2" s="1"/>
  <c r="S22" i="2" s="1"/>
  <c r="I21" i="2"/>
  <c r="L21" i="2" s="1"/>
  <c r="S21" i="2" s="1"/>
  <c r="I20" i="2"/>
  <c r="L20" i="2" s="1"/>
  <c r="S20" i="2" s="1"/>
  <c r="I19" i="2"/>
  <c r="L19" i="2" s="1"/>
  <c r="S19" i="2" s="1"/>
  <c r="I18" i="2"/>
  <c r="L18" i="2" s="1"/>
  <c r="S18" i="2" s="1"/>
  <c r="I17" i="2"/>
  <c r="L17" i="2" s="1"/>
  <c r="S17" i="2" s="1"/>
  <c r="I16" i="2"/>
  <c r="L16" i="2" s="1"/>
  <c r="S16" i="2" s="1"/>
  <c r="I15" i="2"/>
  <c r="L15" i="2" s="1"/>
  <c r="S15" i="2" s="1"/>
  <c r="I14" i="2"/>
  <c r="L14" i="2" s="1"/>
  <c r="S14" i="2" s="1"/>
  <c r="I13" i="2"/>
  <c r="L13" i="2" s="1"/>
  <c r="S13" i="2" s="1"/>
  <c r="I12" i="2"/>
  <c r="L12" i="2" s="1"/>
  <c r="S12" i="2" s="1"/>
  <c r="I11" i="2"/>
  <c r="L11" i="2" s="1"/>
  <c r="S11" i="2" s="1"/>
  <c r="I10" i="2"/>
  <c r="L10" i="2" s="1"/>
  <c r="S10" i="2" s="1"/>
  <c r="I9" i="2"/>
  <c r="L9" i="2" s="1"/>
  <c r="S9" i="2" s="1"/>
  <c r="I8" i="2"/>
  <c r="L8" i="2" s="1"/>
  <c r="S8" i="2" s="1"/>
  <c r="I7" i="2"/>
  <c r="L7" i="2" s="1"/>
  <c r="S7" i="2" s="1"/>
  <c r="I5" i="2"/>
  <c r="L5" i="2" s="1"/>
  <c r="I4" i="2"/>
  <c r="L4" i="2" s="1"/>
  <c r="I3" i="2"/>
  <c r="L3" i="2" s="1"/>
  <c r="D26" i="1"/>
  <c r="Q3" i="2" l="1"/>
  <c r="S3" i="2" s="1"/>
  <c r="Q5" i="2"/>
  <c r="S5" i="2" s="1"/>
  <c r="Q10" i="2"/>
  <c r="Q14" i="2"/>
  <c r="Q18" i="2"/>
  <c r="Q22" i="2"/>
  <c r="Q26" i="2"/>
  <c r="Q30" i="2"/>
  <c r="Q34" i="2"/>
  <c r="Q38" i="2"/>
  <c r="Q42" i="2"/>
  <c r="Q46" i="2"/>
  <c r="Q50" i="2"/>
  <c r="Q54" i="2"/>
  <c r="Q58" i="2"/>
  <c r="Q62" i="2"/>
  <c r="Q66" i="2"/>
  <c r="Q70" i="2"/>
  <c r="Q74" i="2"/>
  <c r="Q78" i="2"/>
  <c r="Q82" i="2"/>
  <c r="Q86" i="2"/>
  <c r="Q90" i="2"/>
  <c r="Q94" i="2"/>
  <c r="Q98" i="2"/>
  <c r="Q7" i="2"/>
  <c r="Q11" i="2"/>
  <c r="Q15" i="2"/>
  <c r="Q19" i="2"/>
  <c r="Q23" i="2"/>
  <c r="Q27" i="2"/>
  <c r="Q31" i="2"/>
  <c r="Q35" i="2"/>
  <c r="Q39" i="2"/>
  <c r="Q43" i="2"/>
  <c r="Q47" i="2"/>
  <c r="Q51" i="2"/>
  <c r="Q55" i="2"/>
  <c r="Q59" i="2"/>
  <c r="Q63" i="2"/>
  <c r="Q67" i="2"/>
  <c r="Q71" i="2"/>
  <c r="Q75" i="2"/>
  <c r="Q79" i="2"/>
  <c r="Q83" i="2"/>
  <c r="Q87" i="2"/>
  <c r="Q91" i="2"/>
  <c r="Q95" i="2"/>
  <c r="Q8" i="2"/>
  <c r="Q12" i="2"/>
  <c r="Q16" i="2"/>
  <c r="Q20" i="2"/>
  <c r="Q24" i="2"/>
  <c r="Q28" i="2"/>
  <c r="Q32" i="2"/>
  <c r="Q36" i="2"/>
  <c r="Q40" i="2"/>
  <c r="Q44" i="2"/>
  <c r="Q48" i="2"/>
  <c r="Q52" i="2"/>
  <c r="Q56" i="2"/>
  <c r="Q60" i="2"/>
  <c r="Q64" i="2"/>
  <c r="Q68" i="2"/>
  <c r="Q72" i="2"/>
  <c r="Q76" i="2"/>
  <c r="Q80" i="2"/>
  <c r="Q84" i="2"/>
  <c r="Q88" i="2"/>
  <c r="Q92" i="2"/>
  <c r="Q96" i="2"/>
  <c r="Q9" i="2"/>
  <c r="Q13" i="2"/>
  <c r="Q17" i="2"/>
  <c r="Q21" i="2"/>
  <c r="Q25" i="2"/>
  <c r="Q29" i="2"/>
  <c r="Q33" i="2"/>
  <c r="Q37" i="2"/>
  <c r="Q41" i="2"/>
  <c r="Q45" i="2"/>
  <c r="Q49" i="2"/>
  <c r="Q53" i="2"/>
  <c r="Q57" i="2"/>
  <c r="Q61" i="2"/>
  <c r="Q65" i="2"/>
  <c r="Q69" i="2"/>
  <c r="Q73" i="2"/>
  <c r="Q77" i="2"/>
  <c r="Q81" i="2"/>
  <c r="Q85" i="2"/>
  <c r="Q89" i="2"/>
  <c r="Q93" i="2"/>
  <c r="Q97" i="2"/>
  <c r="K16" i="2"/>
  <c r="K18" i="2"/>
  <c r="K17" i="2"/>
  <c r="K12" i="2"/>
  <c r="K15" i="2"/>
  <c r="K14" i="2"/>
  <c r="K13" i="2"/>
  <c r="K11" i="2"/>
  <c r="K19" i="2"/>
  <c r="K24" i="2"/>
  <c r="K25" i="2"/>
  <c r="K22" i="2"/>
  <c r="K26" i="2"/>
  <c r="K20" i="2"/>
  <c r="K23" i="2"/>
  <c r="K21" i="2"/>
  <c r="K32" i="2"/>
  <c r="K34" i="2"/>
  <c r="K33" i="2"/>
  <c r="K27" i="2"/>
  <c r="K28" i="2"/>
  <c r="K31" i="2"/>
  <c r="K30" i="2"/>
  <c r="K29" i="2"/>
  <c r="K35" i="2"/>
  <c r="K42" i="2"/>
  <c r="K39" i="2"/>
  <c r="K38" i="2"/>
  <c r="K40" i="2"/>
  <c r="K41" i="2"/>
  <c r="K36" i="2"/>
  <c r="K37" i="2"/>
  <c r="K48" i="2"/>
  <c r="K50" i="2"/>
  <c r="K49" i="2"/>
  <c r="K43" i="2"/>
  <c r="K44" i="2"/>
  <c r="K47" i="2"/>
  <c r="K46" i="2"/>
  <c r="K45" i="2"/>
  <c r="K51" i="2"/>
  <c r="K58" i="2"/>
  <c r="K52" i="2"/>
  <c r="K55" i="2"/>
  <c r="K54" i="2"/>
  <c r="K56" i="2"/>
  <c r="K57" i="2"/>
  <c r="K53" i="2"/>
  <c r="K4" i="2"/>
  <c r="K5" i="2"/>
  <c r="K9" i="2"/>
  <c r="K6" i="2"/>
  <c r="K8" i="2"/>
  <c r="K10" i="2"/>
  <c r="K3" i="2"/>
  <c r="K7" i="2"/>
  <c r="K66" i="2"/>
  <c r="K65" i="2"/>
  <c r="K60" i="2"/>
  <c r="K63" i="2"/>
  <c r="K62" i="2"/>
  <c r="K61" i="2"/>
  <c r="K59" i="2"/>
  <c r="K64" i="2"/>
  <c r="K72" i="2"/>
  <c r="K67" i="2"/>
  <c r="K73" i="2"/>
  <c r="K68" i="2"/>
  <c r="K74" i="2"/>
  <c r="K71" i="2"/>
  <c r="K70" i="2"/>
  <c r="K69" i="2"/>
  <c r="K76" i="2"/>
  <c r="K82" i="2"/>
  <c r="K81" i="2"/>
  <c r="K75" i="2"/>
  <c r="K79" i="2"/>
  <c r="K78" i="2"/>
  <c r="K77" i="2"/>
  <c r="K80" i="2"/>
  <c r="K88" i="2"/>
  <c r="K83" i="2"/>
  <c r="K85" i="2"/>
  <c r="K84" i="2"/>
  <c r="K89" i="2"/>
  <c r="K90" i="2"/>
  <c r="K87" i="2"/>
  <c r="K86" i="2"/>
  <c r="K98" i="2"/>
  <c r="K97" i="2"/>
  <c r="K95" i="2"/>
  <c r="K94" i="2"/>
  <c r="K93" i="2"/>
  <c r="K92" i="2"/>
  <c r="K96" i="2"/>
  <c r="K91" i="2"/>
  <c r="M3" i="2"/>
  <c r="M5" i="2"/>
  <c r="M10" i="2"/>
  <c r="M14" i="2"/>
  <c r="M18" i="2"/>
  <c r="M22" i="2"/>
  <c r="M26" i="2"/>
  <c r="M30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6" i="2"/>
  <c r="M90" i="2"/>
  <c r="M94" i="2"/>
  <c r="M98" i="2"/>
  <c r="M7" i="2"/>
  <c r="M11" i="2"/>
  <c r="M15" i="2"/>
  <c r="M19" i="2"/>
  <c r="M23" i="2"/>
  <c r="M27" i="2"/>
  <c r="M31" i="2"/>
  <c r="M35" i="2"/>
  <c r="M39" i="2"/>
  <c r="M43" i="2"/>
  <c r="M47" i="2"/>
  <c r="M51" i="2"/>
  <c r="M55" i="2"/>
  <c r="M59" i="2"/>
  <c r="M63" i="2"/>
  <c r="M67" i="2"/>
  <c r="M71" i="2"/>
  <c r="M75" i="2"/>
  <c r="M79" i="2"/>
  <c r="M83" i="2"/>
  <c r="M87" i="2"/>
  <c r="M91" i="2"/>
  <c r="M95" i="2"/>
  <c r="M8" i="2"/>
  <c r="M12" i="2"/>
  <c r="M16" i="2"/>
  <c r="M20" i="2"/>
  <c r="M24" i="2"/>
  <c r="M28" i="2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4" i="2"/>
  <c r="M88" i="2"/>
  <c r="M92" i="2"/>
  <c r="M96" i="2"/>
  <c r="M4" i="2"/>
  <c r="M9" i="2"/>
  <c r="M13" i="2"/>
  <c r="M17" i="2"/>
  <c r="M21" i="2"/>
  <c r="M25" i="2"/>
  <c r="M29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5" i="2"/>
  <c r="M89" i="2"/>
  <c r="M93" i="2"/>
  <c r="M97" i="2"/>
  <c r="F26" i="1"/>
  <c r="K2" i="5" s="1"/>
  <c r="J2" i="5"/>
  <c r="E92" i="6" l="1"/>
  <c r="E76" i="6"/>
  <c r="E60" i="6"/>
  <c r="E44" i="6"/>
  <c r="E28" i="6"/>
  <c r="E77" i="6"/>
  <c r="E33" i="6"/>
  <c r="E87" i="6"/>
  <c r="E71" i="6"/>
  <c r="E55" i="6"/>
  <c r="E39" i="6"/>
  <c r="E23" i="6"/>
  <c r="E73" i="6"/>
  <c r="E25" i="6"/>
  <c r="E82" i="6"/>
  <c r="E66" i="6"/>
  <c r="E50" i="6"/>
  <c r="E34" i="6"/>
  <c r="E18" i="6"/>
  <c r="E57" i="6"/>
  <c r="E10" i="6"/>
  <c r="E88" i="6"/>
  <c r="E72" i="6"/>
  <c r="E56" i="6"/>
  <c r="E40" i="6"/>
  <c r="E24" i="6"/>
  <c r="E65" i="6"/>
  <c r="E21" i="6"/>
  <c r="E83" i="6"/>
  <c r="E67" i="6"/>
  <c r="E51" i="6"/>
  <c r="E35" i="6"/>
  <c r="E19" i="6"/>
  <c r="E61" i="6"/>
  <c r="E94" i="6"/>
  <c r="E78" i="6"/>
  <c r="E62" i="6"/>
  <c r="E46" i="6"/>
  <c r="E30" i="6"/>
  <c r="E97" i="6"/>
  <c r="E45" i="6"/>
  <c r="E9" i="6"/>
  <c r="E84" i="6"/>
  <c r="E68" i="6"/>
  <c r="E52" i="6"/>
  <c r="E36" i="6"/>
  <c r="E20" i="6"/>
  <c r="E53" i="6"/>
  <c r="E95" i="6"/>
  <c r="E79" i="6"/>
  <c r="E63" i="6"/>
  <c r="E47" i="6"/>
  <c r="E31" i="6"/>
  <c r="E93" i="6"/>
  <c r="E49" i="6"/>
  <c r="E90" i="6"/>
  <c r="E74" i="6"/>
  <c r="E58" i="6"/>
  <c r="E42" i="6"/>
  <c r="E26" i="6"/>
  <c r="E81" i="6"/>
  <c r="E29" i="6"/>
  <c r="E96" i="6"/>
  <c r="E80" i="6"/>
  <c r="E64" i="6"/>
  <c r="E48" i="6"/>
  <c r="E32" i="6"/>
  <c r="E89" i="6"/>
  <c r="E41" i="6"/>
  <c r="E91" i="6"/>
  <c r="E75" i="6"/>
  <c r="E59" i="6"/>
  <c r="E43" i="6"/>
  <c r="E27" i="6"/>
  <c r="E85" i="6"/>
  <c r="E37" i="6"/>
  <c r="E86" i="6"/>
  <c r="E70" i="6"/>
  <c r="E54" i="6"/>
  <c r="E38" i="6"/>
  <c r="E22" i="6"/>
  <c r="E69" i="6"/>
  <c r="E17" i="6"/>
  <c r="O3" i="2"/>
  <c r="N3" i="2"/>
  <c r="N91" i="2"/>
  <c r="N98" i="2"/>
  <c r="N94" i="2"/>
  <c r="N96" i="2"/>
  <c r="N97" i="2"/>
  <c r="N95" i="2"/>
  <c r="N92" i="2"/>
  <c r="N93" i="2"/>
  <c r="N77" i="2"/>
  <c r="N79" i="2"/>
  <c r="N78" i="2"/>
  <c r="N80" i="2"/>
  <c r="N76" i="2"/>
  <c r="N75" i="2"/>
  <c r="N82" i="2"/>
  <c r="N81" i="2"/>
  <c r="N59" i="2"/>
  <c r="N60" i="2"/>
  <c r="N62" i="2"/>
  <c r="N63" i="2"/>
  <c r="N64" i="2"/>
  <c r="N61" i="2"/>
  <c r="N65" i="2"/>
  <c r="N66" i="2"/>
  <c r="N43" i="2"/>
  <c r="N47" i="2"/>
  <c r="N46" i="2"/>
  <c r="N50" i="2"/>
  <c r="N48" i="2"/>
  <c r="N45" i="2"/>
  <c r="N49" i="2"/>
  <c r="N44" i="2"/>
  <c r="N34" i="2"/>
  <c r="N27" i="2"/>
  <c r="N29" i="2"/>
  <c r="N30" i="2"/>
  <c r="N31" i="2"/>
  <c r="N32" i="2"/>
  <c r="N28" i="2"/>
  <c r="N33" i="2"/>
  <c r="N11" i="2"/>
  <c r="N18" i="2"/>
  <c r="N14" i="2"/>
  <c r="N15" i="2"/>
  <c r="N16" i="2"/>
  <c r="N12" i="2"/>
  <c r="N17" i="2"/>
  <c r="N13" i="2"/>
  <c r="N90" i="2"/>
  <c r="N89" i="2"/>
  <c r="N84" i="2"/>
  <c r="N88" i="2"/>
  <c r="N85" i="2"/>
  <c r="N86" i="2"/>
  <c r="N87" i="2"/>
  <c r="N83" i="2"/>
  <c r="N73" i="2"/>
  <c r="N71" i="2"/>
  <c r="N74" i="2"/>
  <c r="N68" i="2"/>
  <c r="N69" i="2"/>
  <c r="N67" i="2"/>
  <c r="N70" i="2"/>
  <c r="N72" i="2"/>
  <c r="N58" i="2"/>
  <c r="N54" i="2"/>
  <c r="N57" i="2"/>
  <c r="N52" i="2"/>
  <c r="N53" i="2"/>
  <c r="N51" i="2"/>
  <c r="N55" i="2"/>
  <c r="N56" i="2"/>
  <c r="N41" i="2"/>
  <c r="N36" i="2"/>
  <c r="N38" i="2"/>
  <c r="N39" i="2"/>
  <c r="N40" i="2"/>
  <c r="N37" i="2"/>
  <c r="N35" i="2"/>
  <c r="N42" i="2"/>
  <c r="N25" i="2"/>
  <c r="N20" i="2"/>
  <c r="N22" i="2"/>
  <c r="N21" i="2"/>
  <c r="N26" i="2"/>
  <c r="N19" i="2"/>
  <c r="N23" i="2"/>
  <c r="N24" i="2"/>
  <c r="N9" i="2"/>
  <c r="N7" i="2"/>
  <c r="N4" i="2"/>
  <c r="Q4" i="2" s="1"/>
  <c r="S4" i="2" s="1"/>
  <c r="N5" i="2"/>
  <c r="N6" i="2"/>
  <c r="N8" i="2"/>
  <c r="N10" i="2"/>
  <c r="P3" i="2"/>
  <c r="P7" i="2"/>
  <c r="P11" i="2"/>
  <c r="P15" i="2"/>
  <c r="P19" i="2"/>
  <c r="P23" i="2"/>
  <c r="P27" i="2"/>
  <c r="P31" i="2"/>
  <c r="P35" i="2"/>
  <c r="P39" i="2"/>
  <c r="P43" i="2"/>
  <c r="P47" i="2"/>
  <c r="P51" i="2"/>
  <c r="P55" i="2"/>
  <c r="P59" i="2"/>
  <c r="P63" i="2"/>
  <c r="P67" i="2"/>
  <c r="P71" i="2"/>
  <c r="P75" i="2"/>
  <c r="P79" i="2"/>
  <c r="P83" i="2"/>
  <c r="P87" i="2"/>
  <c r="P91" i="2"/>
  <c r="P95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P4" i="2"/>
  <c r="P8" i="2"/>
  <c r="P12" i="2"/>
  <c r="P16" i="2"/>
  <c r="P20" i="2"/>
  <c r="P24" i="2"/>
  <c r="P28" i="2"/>
  <c r="P32" i="2"/>
  <c r="P36" i="2"/>
  <c r="P40" i="2"/>
  <c r="P44" i="2"/>
  <c r="P48" i="2"/>
  <c r="P52" i="2"/>
  <c r="P56" i="2"/>
  <c r="P60" i="2"/>
  <c r="P64" i="2"/>
  <c r="P68" i="2"/>
  <c r="P72" i="2"/>
  <c r="P76" i="2"/>
  <c r="P80" i="2"/>
  <c r="P84" i="2"/>
  <c r="P88" i="2"/>
  <c r="P92" i="2"/>
  <c r="P96" i="2"/>
  <c r="O4" i="2"/>
  <c r="O8" i="2"/>
  <c r="O12" i="2"/>
  <c r="O16" i="2"/>
  <c r="O20" i="2"/>
  <c r="O24" i="2"/>
  <c r="O28" i="2"/>
  <c r="O32" i="2"/>
  <c r="O36" i="2"/>
  <c r="O40" i="2"/>
  <c r="O44" i="2"/>
  <c r="O48" i="2"/>
  <c r="O52" i="2"/>
  <c r="P5" i="2"/>
  <c r="P13" i="2"/>
  <c r="P21" i="2"/>
  <c r="P29" i="2"/>
  <c r="P37" i="2"/>
  <c r="P45" i="2"/>
  <c r="P53" i="2"/>
  <c r="P61" i="2"/>
  <c r="P69" i="2"/>
  <c r="P77" i="2"/>
  <c r="P85" i="2"/>
  <c r="P93" i="2"/>
  <c r="O5" i="2"/>
  <c r="O13" i="2"/>
  <c r="O21" i="2"/>
  <c r="O29" i="2"/>
  <c r="O37" i="2"/>
  <c r="O45" i="2"/>
  <c r="O53" i="2"/>
  <c r="O58" i="2"/>
  <c r="O64" i="2"/>
  <c r="O69" i="2"/>
  <c r="O74" i="2"/>
  <c r="O80" i="2"/>
  <c r="O85" i="2"/>
  <c r="O90" i="2"/>
  <c r="O96" i="2"/>
  <c r="P17" i="2"/>
  <c r="P57" i="2"/>
  <c r="P73" i="2"/>
  <c r="P89" i="2"/>
  <c r="O9" i="2"/>
  <c r="O25" i="2"/>
  <c r="O41" i="2"/>
  <c r="O56" i="2"/>
  <c r="O66" i="2"/>
  <c r="O77" i="2"/>
  <c r="O88" i="2"/>
  <c r="O98" i="2"/>
  <c r="P98" i="2"/>
  <c r="O34" i="2"/>
  <c r="O57" i="2"/>
  <c r="O68" i="2"/>
  <c r="O73" i="2"/>
  <c r="O78" i="2"/>
  <c r="O84" i="2"/>
  <c r="O89" i="2"/>
  <c r="O94" i="2"/>
  <c r="P6" i="2"/>
  <c r="P14" i="2"/>
  <c r="P22" i="2"/>
  <c r="P30" i="2"/>
  <c r="P38" i="2"/>
  <c r="P46" i="2"/>
  <c r="P54" i="2"/>
  <c r="P62" i="2"/>
  <c r="P70" i="2"/>
  <c r="P78" i="2"/>
  <c r="P86" i="2"/>
  <c r="P94" i="2"/>
  <c r="O6" i="2"/>
  <c r="O14" i="2"/>
  <c r="O22" i="2"/>
  <c r="O30" i="2"/>
  <c r="O38" i="2"/>
  <c r="O46" i="2"/>
  <c r="O54" i="2"/>
  <c r="O60" i="2"/>
  <c r="O65" i="2"/>
  <c r="O70" i="2"/>
  <c r="O76" i="2"/>
  <c r="O81" i="2"/>
  <c r="O86" i="2"/>
  <c r="O92" i="2"/>
  <c r="O97" i="2"/>
  <c r="P9" i="2"/>
  <c r="P25" i="2"/>
  <c r="P33" i="2"/>
  <c r="P41" i="2"/>
  <c r="P49" i="2"/>
  <c r="P65" i="2"/>
  <c r="P81" i="2"/>
  <c r="P97" i="2"/>
  <c r="O17" i="2"/>
  <c r="O33" i="2"/>
  <c r="O49" i="2"/>
  <c r="O61" i="2"/>
  <c r="O72" i="2"/>
  <c r="O82" i="2"/>
  <c r="O93" i="2"/>
  <c r="P10" i="2"/>
  <c r="P18" i="2"/>
  <c r="P26" i="2"/>
  <c r="P34" i="2"/>
  <c r="P42" i="2"/>
  <c r="P50" i="2"/>
  <c r="P58" i="2"/>
  <c r="P66" i="2"/>
  <c r="P74" i="2"/>
  <c r="P82" i="2"/>
  <c r="P90" i="2"/>
  <c r="O10" i="2"/>
  <c r="O18" i="2"/>
  <c r="O26" i="2"/>
  <c r="O42" i="2"/>
  <c r="O50" i="2"/>
  <c r="O62" i="2"/>
  <c r="H26" i="1"/>
  <c r="E3" i="6" l="1"/>
  <c r="E12" i="6"/>
  <c r="E14" i="6"/>
  <c r="E7" i="6"/>
  <c r="E6" i="6"/>
  <c r="E16" i="6"/>
  <c r="E13" i="6"/>
  <c r="E5" i="6"/>
  <c r="E8" i="6"/>
  <c r="E11" i="6"/>
  <c r="E4" i="6"/>
  <c r="E2" i="6"/>
  <c r="E15" i="6"/>
</calcChain>
</file>

<file path=xl/sharedStrings.xml><?xml version="1.0" encoding="utf-8"?>
<sst xmlns="http://schemas.openxmlformats.org/spreadsheetml/2006/main" count="341" uniqueCount="332">
  <si>
    <t>Date:</t>
  </si>
  <si>
    <t>(YYYY-MM-DD)</t>
  </si>
  <si>
    <t>KEY</t>
  </si>
  <si>
    <t>Required fields</t>
  </si>
  <si>
    <t>Exp Number:</t>
  </si>
  <si>
    <t>(user created three digit ID)</t>
  </si>
  <si>
    <t>Calculated fields</t>
  </si>
  <si>
    <t>Exp ID:</t>
  </si>
  <si>
    <t>(SL = Sequencing Library)</t>
  </si>
  <si>
    <t>Do NOT use any commas in fields</t>
  </si>
  <si>
    <t>Exp Name:</t>
  </si>
  <si>
    <t>Exp Summary:</t>
  </si>
  <si>
    <t>Filename:</t>
  </si>
  <si>
    <t>Number of samples:</t>
  </si>
  <si>
    <t>Notes:</t>
  </si>
  <si>
    <t>1 - Library Preparation</t>
  </si>
  <si>
    <t>(Values in Library Tab)</t>
  </si>
  <si>
    <t>Item</t>
  </si>
  <si>
    <t>Per tube (µl)</t>
  </si>
  <si>
    <r>
      <rPr>
        <sz val="12"/>
        <color theme="1"/>
        <rFont val="Calibri"/>
        <family val="2"/>
        <charset val="1"/>
      </rPr>
      <t>Temperature (</t>
    </r>
    <r>
      <rPr>
        <vertAlign val="superscript"/>
        <sz val="12"/>
        <color theme="1"/>
        <rFont val="Calibri"/>
        <family val="2"/>
        <charset val="1"/>
      </rPr>
      <t>o</t>
    </r>
    <r>
      <rPr>
        <sz val="12"/>
        <color theme="1"/>
        <rFont val="Calibri"/>
        <family val="2"/>
        <charset val="1"/>
      </rPr>
      <t>C)</t>
    </r>
  </si>
  <si>
    <t>Time (min)</t>
  </si>
  <si>
    <t>∞</t>
  </si>
  <si>
    <t>2 - Pooling and clean-up</t>
  </si>
  <si>
    <t>AMPPure Volume (µl)</t>
  </si>
  <si>
    <t>Pooled DNA 
(ng / µl)</t>
  </si>
  <si>
    <t>Dilution Factor</t>
  </si>
  <si>
    <t>Final Pooled [DNA] (ng/µl)*</t>
  </si>
  <si>
    <t>3 - Adapter Ligation</t>
  </si>
  <si>
    <t>Library DNA</t>
  </si>
  <si>
    <t>(ensure mixed thoroughly just before addition)</t>
  </si>
  <si>
    <t>Flow cell check:</t>
  </si>
  <si>
    <t xml:space="preserve"> (# functioning pores)</t>
  </si>
  <si>
    <t>Sample Information</t>
  </si>
  <si>
    <t>Library Prep</t>
  </si>
  <si>
    <t>#</t>
  </si>
  <si>
    <t>Well</t>
  </si>
  <si>
    <t>Extraction ID</t>
  </si>
  <si>
    <t>PCR [DNA] (ng / µl)</t>
  </si>
  <si>
    <t>Barcode#</t>
  </si>
  <si>
    <r>
      <rPr>
        <sz val="12"/>
        <rFont val="Calibri"/>
        <family val="2"/>
        <charset val="1"/>
      </rPr>
      <t>NF H</t>
    </r>
    <r>
      <rPr>
        <vertAlign val="subscript"/>
        <sz val="12"/>
        <color theme="1"/>
        <rFont val="Calibri"/>
        <family val="2"/>
        <charset val="1"/>
      </rPr>
      <t>2</t>
    </r>
    <r>
      <rPr>
        <sz val="12"/>
        <color theme="1"/>
        <rFont val="Calibri"/>
        <family val="2"/>
        <charset val="1"/>
      </rPr>
      <t>0 (µl)</t>
    </r>
  </si>
  <si>
    <t>SeqLib Identifier</t>
  </si>
  <si>
    <t>A1</t>
  </si>
  <si>
    <t>01</t>
  </si>
  <si>
    <t>B1</t>
  </si>
  <si>
    <t>02</t>
  </si>
  <si>
    <t>C1</t>
  </si>
  <si>
    <t>03</t>
  </si>
  <si>
    <t>D1</t>
  </si>
  <si>
    <t>04</t>
  </si>
  <si>
    <t>E1</t>
  </si>
  <si>
    <t>05</t>
  </si>
  <si>
    <t>F1</t>
  </si>
  <si>
    <t>06</t>
  </si>
  <si>
    <t>G1</t>
  </si>
  <si>
    <t>07</t>
  </si>
  <si>
    <t>H1</t>
  </si>
  <si>
    <t>08</t>
  </si>
  <si>
    <t>A2</t>
  </si>
  <si>
    <t>09</t>
  </si>
  <si>
    <t>B2</t>
  </si>
  <si>
    <t>10</t>
  </si>
  <si>
    <t>C2</t>
  </si>
  <si>
    <t>11</t>
  </si>
  <si>
    <t>D2</t>
  </si>
  <si>
    <t>12</t>
  </si>
  <si>
    <t>E2</t>
  </si>
  <si>
    <t>13</t>
  </si>
  <si>
    <t>F2</t>
  </si>
  <si>
    <t>14</t>
  </si>
  <si>
    <t>G2</t>
  </si>
  <si>
    <t>15</t>
  </si>
  <si>
    <t>H2</t>
  </si>
  <si>
    <t>16</t>
  </si>
  <si>
    <t>A3</t>
  </si>
  <si>
    <t>17</t>
  </si>
  <si>
    <t>B3</t>
  </si>
  <si>
    <t>18</t>
  </si>
  <si>
    <t>C3</t>
  </si>
  <si>
    <t>19</t>
  </si>
  <si>
    <t>D3</t>
  </si>
  <si>
    <t>20</t>
  </si>
  <si>
    <t>E3</t>
  </si>
  <si>
    <t>21</t>
  </si>
  <si>
    <t>F3</t>
  </si>
  <si>
    <t>22</t>
  </si>
  <si>
    <t>G3</t>
  </si>
  <si>
    <t>23</t>
  </si>
  <si>
    <t>H3</t>
  </si>
  <si>
    <t>24</t>
  </si>
  <si>
    <t>A4</t>
  </si>
  <si>
    <t>25</t>
  </si>
  <si>
    <t>B4</t>
  </si>
  <si>
    <t>26</t>
  </si>
  <si>
    <t>C4</t>
  </si>
  <si>
    <t>27</t>
  </si>
  <si>
    <t>D4</t>
  </si>
  <si>
    <t>28</t>
  </si>
  <si>
    <t>E4</t>
  </si>
  <si>
    <t>29</t>
  </si>
  <si>
    <t>F4</t>
  </si>
  <si>
    <t>30</t>
  </si>
  <si>
    <t>G4</t>
  </si>
  <si>
    <t>31</t>
  </si>
  <si>
    <t>H4</t>
  </si>
  <si>
    <t>32</t>
  </si>
  <si>
    <t>A5</t>
  </si>
  <si>
    <t>33</t>
  </si>
  <si>
    <t>B5</t>
  </si>
  <si>
    <t>34</t>
  </si>
  <si>
    <t>C5</t>
  </si>
  <si>
    <t>35</t>
  </si>
  <si>
    <t>D5</t>
  </si>
  <si>
    <t>36</t>
  </si>
  <si>
    <t>E5</t>
  </si>
  <si>
    <t>37</t>
  </si>
  <si>
    <t>F5</t>
  </si>
  <si>
    <t>38</t>
  </si>
  <si>
    <t>G5</t>
  </si>
  <si>
    <t>39</t>
  </si>
  <si>
    <t>H5</t>
  </si>
  <si>
    <t>40</t>
  </si>
  <si>
    <t>A6</t>
  </si>
  <si>
    <t>41</t>
  </si>
  <si>
    <t>B6</t>
  </si>
  <si>
    <t>42</t>
  </si>
  <si>
    <t>C6</t>
  </si>
  <si>
    <t>43</t>
  </si>
  <si>
    <t>D6</t>
  </si>
  <si>
    <t>44</t>
  </si>
  <si>
    <t>E6</t>
  </si>
  <si>
    <t>45</t>
  </si>
  <si>
    <t>F6</t>
  </si>
  <si>
    <t>46</t>
  </si>
  <si>
    <t>G6</t>
  </si>
  <si>
    <t>47</t>
  </si>
  <si>
    <t>H6</t>
  </si>
  <si>
    <t>48</t>
  </si>
  <si>
    <t>A7</t>
  </si>
  <si>
    <t>49</t>
  </si>
  <si>
    <t>B7</t>
  </si>
  <si>
    <t>50</t>
  </si>
  <si>
    <t>C7</t>
  </si>
  <si>
    <t>51</t>
  </si>
  <si>
    <t>D7</t>
  </si>
  <si>
    <t>52</t>
  </si>
  <si>
    <t>E7</t>
  </si>
  <si>
    <t>53</t>
  </si>
  <si>
    <t>F7</t>
  </si>
  <si>
    <t>54</t>
  </si>
  <si>
    <t>G7</t>
  </si>
  <si>
    <t>55</t>
  </si>
  <si>
    <t>H7</t>
  </si>
  <si>
    <t>56</t>
  </si>
  <si>
    <t>A8</t>
  </si>
  <si>
    <t>57</t>
  </si>
  <si>
    <t>B8</t>
  </si>
  <si>
    <t>58</t>
  </si>
  <si>
    <t>C8</t>
  </si>
  <si>
    <t>59</t>
  </si>
  <si>
    <t>D8</t>
  </si>
  <si>
    <t>60</t>
  </si>
  <si>
    <t>E8</t>
  </si>
  <si>
    <t>61</t>
  </si>
  <si>
    <t>F8</t>
  </si>
  <si>
    <t>62</t>
  </si>
  <si>
    <t>G8</t>
  </si>
  <si>
    <t>63</t>
  </si>
  <si>
    <t>H8</t>
  </si>
  <si>
    <t>64</t>
  </si>
  <si>
    <t>A9</t>
  </si>
  <si>
    <t>65</t>
  </si>
  <si>
    <t>B9</t>
  </si>
  <si>
    <t>66</t>
  </si>
  <si>
    <t>C9</t>
  </si>
  <si>
    <t>67</t>
  </si>
  <si>
    <t>D9</t>
  </si>
  <si>
    <t>68</t>
  </si>
  <si>
    <t>E9</t>
  </si>
  <si>
    <t>69</t>
  </si>
  <si>
    <t>F9</t>
  </si>
  <si>
    <t>70</t>
  </si>
  <si>
    <t>G9</t>
  </si>
  <si>
    <t>71</t>
  </si>
  <si>
    <t>H9</t>
  </si>
  <si>
    <t>72</t>
  </si>
  <si>
    <t>A10</t>
  </si>
  <si>
    <t>73</t>
  </si>
  <si>
    <t>B10</t>
  </si>
  <si>
    <t>74</t>
  </si>
  <si>
    <t>C10</t>
  </si>
  <si>
    <t>75</t>
  </si>
  <si>
    <t>D10</t>
  </si>
  <si>
    <t>76</t>
  </si>
  <si>
    <t>E10</t>
  </si>
  <si>
    <t>77</t>
  </si>
  <si>
    <t>F10</t>
  </si>
  <si>
    <t>78</t>
  </si>
  <si>
    <t>G10</t>
  </si>
  <si>
    <t>79</t>
  </si>
  <si>
    <t>H10</t>
  </si>
  <si>
    <t>80</t>
  </si>
  <si>
    <t>A11</t>
  </si>
  <si>
    <t>81</t>
  </si>
  <si>
    <t>B11</t>
  </si>
  <si>
    <t>82</t>
  </si>
  <si>
    <t>C11</t>
  </si>
  <si>
    <t>83</t>
  </si>
  <si>
    <t>D11</t>
  </si>
  <si>
    <t>84</t>
  </si>
  <si>
    <t>E11</t>
  </si>
  <si>
    <t>85</t>
  </si>
  <si>
    <t>F11</t>
  </si>
  <si>
    <t>86</t>
  </si>
  <si>
    <t>G11</t>
  </si>
  <si>
    <t>87</t>
  </si>
  <si>
    <t>H11</t>
  </si>
  <si>
    <t>88</t>
  </si>
  <si>
    <t>A12</t>
  </si>
  <si>
    <t>89</t>
  </si>
  <si>
    <t>B12</t>
  </si>
  <si>
    <t>90</t>
  </si>
  <si>
    <t>C12</t>
  </si>
  <si>
    <t>91</t>
  </si>
  <si>
    <t>D12</t>
  </si>
  <si>
    <t>92</t>
  </si>
  <si>
    <t>E12</t>
  </si>
  <si>
    <t>93</t>
  </si>
  <si>
    <t>F12</t>
  </si>
  <si>
    <t>94</t>
  </si>
  <si>
    <t>G12</t>
  </si>
  <si>
    <t>95</t>
  </si>
  <si>
    <t>H12</t>
  </si>
  <si>
    <t>96</t>
  </si>
  <si>
    <t>Assumptions</t>
  </si>
  <si>
    <t>Look-ups</t>
  </si>
  <si>
    <t>Description</t>
  </si>
  <si>
    <t>ul</t>
  </si>
  <si>
    <t>Flow cell load max volume</t>
  </si>
  <si>
    <t>Experiment</t>
  </si>
  <si>
    <t>type</t>
  </si>
  <si>
    <t>seqlib</t>
  </si>
  <si>
    <t>version</t>
  </si>
  <si>
    <t>expt_id</t>
  </si>
  <si>
    <t>expt_date</t>
  </si>
  <si>
    <t>expt_user</t>
  </si>
  <si>
    <t>expt_type</t>
  </si>
  <si>
    <t>expt_version</t>
  </si>
  <si>
    <t>expt_notes</t>
  </si>
  <si>
    <t>expt_summary</t>
  </si>
  <si>
    <t>expt_rxns</t>
  </si>
  <si>
    <t>library_dnaconc_ngul</t>
  </si>
  <si>
    <t>flowcell_checkpores</t>
  </si>
  <si>
    <t>sample_id</t>
  </si>
  <si>
    <t>extraction_id</t>
  </si>
  <si>
    <t>barcode</t>
  </si>
  <si>
    <t>Changelog from prev version</t>
  </si>
  <si>
    <t>Instructions</t>
  </si>
  <si>
    <t>Process</t>
  </si>
  <si>
    <t>Column</t>
  </si>
  <si>
    <t>Max vol for col</t>
  </si>
  <si>
    <t>1 per column</t>
  </si>
  <si>
    <t>Avg Per plate</t>
  </si>
  <si>
    <t>Max per plate</t>
  </si>
  <si>
    <t>Volume Calculation Types</t>
  </si>
  <si>
    <t>Name</t>
  </si>
  <si>
    <t>max volume per column</t>
  </si>
  <si>
    <t>max per plate</t>
  </si>
  <si>
    <t>avg per plate</t>
  </si>
  <si>
    <t>(recommend 1 per column)</t>
  </si>
  <si>
    <t>NOMADS Library Worksheet - Rapid Kit</t>
  </si>
  <si>
    <t>ng</t>
  </si>
  <si>
    <t>1. Pool 5 µl of all samples into a new LoBind tube</t>
  </si>
  <si>
    <t>3. Incubate for 5 min at RT</t>
  </si>
  <si>
    <t>2. Add 1 µl of rapid barcode to each sample, mix thoroughly and incubate:</t>
  </si>
  <si>
    <t>PCR product target mass</t>
  </si>
  <si>
    <t>PCR product max volume</t>
  </si>
  <si>
    <t>Vol calculation type</t>
  </si>
  <si>
    <t>expt_sub-type</t>
  </si>
  <si>
    <t>sub-type</t>
  </si>
  <si>
    <t>rapid</t>
  </si>
  <si>
    <t>pcrproductadded_vol_ul</t>
  </si>
  <si>
    <t>Flow cell target mass</t>
  </si>
  <si>
    <t>Sequencing Buffer (SB)</t>
  </si>
  <si>
    <t>Loading Beads (LIB)</t>
  </si>
  <si>
    <t>Sample Type</t>
  </si>
  <si>
    <t>sample_type</t>
  </si>
  <si>
    <t>Field</t>
  </si>
  <si>
    <t>Positive</t>
  </si>
  <si>
    <t>Negative</t>
  </si>
  <si>
    <r>
      <t>3. Quantify 2 µl of a 1:10 dilution (NF H</t>
    </r>
    <r>
      <rPr>
        <vertAlign val="subscript"/>
        <sz val="12"/>
        <color theme="1"/>
        <rFont val="Calibri"/>
        <family val="2"/>
      </rPr>
      <t>2</t>
    </r>
    <r>
      <rPr>
        <sz val="12"/>
        <color theme="1"/>
        <rFont val="Calibri"/>
        <family val="2"/>
        <charset val="1"/>
      </rPr>
      <t>O ) of the DNA  (198 µl WS 1X HS DNA) on Qubit</t>
    </r>
  </si>
  <si>
    <t>Minimum final pooled [DNA]</t>
  </si>
  <si>
    <t>ng/ul</t>
  </si>
  <si>
    <t>Post-PCR clean-up target [DNA]</t>
  </si>
  <si>
    <t>flowcell_massloaded_ng</t>
  </si>
  <si>
    <t>Adaptor Ligation max volume</t>
  </si>
  <si>
    <t>PCR product (µl) to add (calculated)</t>
  </si>
  <si>
    <t>PCR product (µl) added (if different from calculated)</t>
  </si>
  <si>
    <t>2. Save workbook with the correct filename to the shared Google Drive folder</t>
  </si>
  <si>
    <r>
      <t xml:space="preserve">Reference values </t>
    </r>
    <r>
      <rPr>
        <u/>
        <sz val="20"/>
        <color rgb="FF000000"/>
        <rFont val="Calibri"/>
        <family val="2"/>
      </rPr>
      <t>(change only if required)</t>
    </r>
  </si>
  <si>
    <r>
      <t xml:space="preserve">1. Enter all details into the </t>
    </r>
    <r>
      <rPr>
        <b/>
        <sz val="24"/>
        <color theme="1"/>
        <rFont val="Calibri"/>
        <family val="2"/>
        <scheme val="minor"/>
      </rPr>
      <t>'Assay'</t>
    </r>
    <r>
      <rPr>
        <sz val="24"/>
        <color theme="1"/>
        <rFont val="Calibri"/>
        <family val="2"/>
        <scheme val="minor"/>
      </rPr>
      <t xml:space="preserve"> (experiment level) and </t>
    </r>
    <r>
      <rPr>
        <b/>
        <sz val="24"/>
        <color theme="1"/>
        <rFont val="Calibri"/>
        <family val="2"/>
        <scheme val="minor"/>
      </rPr>
      <t>'Library'</t>
    </r>
    <r>
      <rPr>
        <sz val="24"/>
        <color theme="1"/>
        <rFont val="Calibri"/>
        <family val="2"/>
        <scheme val="minor"/>
      </rPr>
      <t xml:space="preserve"> (reaction level) tabs, ensuring all yellow highlighted cells are complete</t>
    </r>
  </si>
  <si>
    <t>To prevent inadvertent loss of data, cells are protected from editing. You can only select unlocked cells. Use tab to navigate</t>
  </si>
  <si>
    <r>
      <t xml:space="preserve">      - when copying from another worksheet, always right-click and paste </t>
    </r>
    <r>
      <rPr>
        <b/>
        <sz val="26"/>
        <color theme="1"/>
        <rFont val="Calibri"/>
        <family val="2"/>
        <scheme val="minor"/>
      </rPr>
      <t>VALUES</t>
    </r>
    <r>
      <rPr>
        <sz val="26"/>
        <color theme="1"/>
        <rFont val="Calibri"/>
        <family val="2"/>
        <scheme val="minor"/>
      </rPr>
      <t>:</t>
    </r>
  </si>
  <si>
    <t>This template is to be used to record library prep and sequencing steps as part of a NOMADS sequencing run.</t>
  </si>
  <si>
    <t>Volume to adaptor ligate (µl)</t>
  </si>
  <si>
    <t>Volume of EB to add (µl)</t>
  </si>
  <si>
    <t>1. Combine 1 µl Rapid Adaptor (RA) and 2.3 µl Adaptor Buffer (ADB) in fresh tube</t>
  </si>
  <si>
    <t>4 - Flow cell prep</t>
  </si>
  <si>
    <t>1. Mix 1,170 µl Flow Cell Flush (FCF) with 30 µl Flow Cell Tether (FCT)</t>
  </si>
  <si>
    <t>2. Open priming  port and aspirate (by scrolling) with a P1000 set to 200 µl to remove any bubbles</t>
  </si>
  <si>
    <t>3. Add 800 µl of the priming mix to the priming port and incubate for 5 mins</t>
  </si>
  <si>
    <t>4. Open Spot-On port and add 200 µl of the priming mix to the priming port</t>
  </si>
  <si>
    <t>5 - Library Loading</t>
  </si>
  <si>
    <t>User Initials:</t>
  </si>
  <si>
    <t>(calculated from Library tab)</t>
  </si>
  <si>
    <t>(enter name)</t>
  </si>
  <si>
    <t>(enter human readable detail)</t>
  </si>
  <si>
    <t>One or more entries in column</t>
  </si>
  <si>
    <t>Check to see if BOTH the sample_id AND a DNA conc has been entered</t>
  </si>
  <si>
    <t>Check that at least one entry has been made in the column</t>
  </si>
  <si>
    <t>DNA conc present</t>
  </si>
  <si>
    <t>Sample ID present</t>
  </si>
  <si>
    <t>Calculate</t>
  </si>
  <si>
    <t>Removed multiple details not being used</t>
  </si>
  <si>
    <t>Removed usernames and projects</t>
  </si>
  <si>
    <t>PCR</t>
  </si>
  <si>
    <t>1. Prepare library and load all 75 µl dropwise to the spot-on port</t>
  </si>
  <si>
    <t>2. Start run in minknow with 'SQK-RBK114.96' kit  and 'Super accurate basecalling'</t>
  </si>
  <si>
    <t>Users name:</t>
  </si>
  <si>
    <t>Exact</t>
  </si>
  <si>
    <t>Avg per plate</t>
  </si>
  <si>
    <t>Sample ID</t>
  </si>
  <si>
    <t>(first last)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</si>
</sst>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0.0"/>
  </numFmts>
  <fonts count="24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vertAlign val="superscript"/>
      <sz val="12"/>
      <color theme="1"/>
      <name val="Calibri"/>
      <family val="2"/>
      <charset val="1"/>
    </font>
    <font>
      <vertAlign val="subscript"/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12"/>
      <name val="Calibri"/>
      <family val="2"/>
      <charset val="1"/>
    </font>
    <font>
      <b/>
      <u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Calibri"/>
      <family val="2"/>
    </font>
    <font>
      <b/>
      <u/>
      <sz val="36"/>
      <color rgb="FF000000"/>
      <name val="Calibri"/>
      <family val="2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Calibri"/>
      <family val="2"/>
      <charset val="1"/>
    </font>
    <font>
      <vertAlign val="subscript"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6"/>
      <color rgb="FF000000"/>
      <name val="Calibri"/>
      <family val="2"/>
    </font>
    <font>
      <b/>
      <sz val="26"/>
      <color theme="1"/>
      <name val="Calibri"/>
      <family val="2"/>
      <scheme val="minor"/>
    </font>
    <font>
      <b/>
      <u/>
      <sz val="2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</font>
    <font>
      <u/>
      <sz val="2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249977111117893"/>
        <bgColor rgb="FFD0CECE"/>
      </patternFill>
    </fill>
    <fill>
      <patternFill patternType="solid">
        <fgColor rgb="FFFF0000"/>
        <bgColor rgb="FF9C0006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164" fontId="9" fillId="0" borderId="0" applyBorder="0" applyProtection="0"/>
    <xf numFmtId="164" fontId="9" fillId="0" borderId="0" applyBorder="0" applyProtection="0"/>
    <xf numFmtId="0" fontId="2" fillId="0" borderId="0"/>
    <xf numFmtId="0" fontId="2" fillId="0" borderId="0"/>
    <xf numFmtId="0" fontId="2" fillId="0" borderId="0"/>
  </cellStyleXfs>
  <cellXfs count="115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1" fontId="0" fillId="6" borderId="2" xfId="0" applyNumberFormat="1" applyFill="1" applyBorder="1" applyAlignment="1">
      <alignment horizontal="center"/>
    </xf>
    <xf numFmtId="0" fontId="8" fillId="0" borderId="0" xfId="5" applyFont="1"/>
    <xf numFmtId="0" fontId="2" fillId="0" borderId="0" xfId="5"/>
    <xf numFmtId="0" fontId="6" fillId="5" borderId="1" xfId="0" applyFont="1" applyFill="1" applyBorder="1"/>
    <xf numFmtId="0" fontId="0" fillId="5" borderId="1" xfId="0" applyFill="1" applyBorder="1"/>
    <xf numFmtId="0" fontId="0" fillId="0" borderId="0" xfId="0" applyAlignment="1">
      <alignment vertical="center"/>
    </xf>
    <xf numFmtId="0" fontId="7" fillId="0" borderId="0" xfId="0" applyFont="1" applyAlignment="1">
      <alignment horizontal="left" vertical="center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11" fillId="0" borderId="0" xfId="0" applyFont="1"/>
    <xf numFmtId="0" fontId="12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49" fontId="0" fillId="0" borderId="7" xfId="0" applyNumberFormat="1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0" fillId="0" borderId="11" xfId="0" applyNumberFormat="1" applyBorder="1" applyAlignment="1" applyProtection="1">
      <alignment horizontal="center"/>
      <protection locked="0"/>
    </xf>
    <xf numFmtId="0" fontId="7" fillId="5" borderId="5" xfId="0" applyFont="1" applyFill="1" applyBorder="1" applyAlignment="1" applyProtection="1">
      <alignment horizontal="center" wrapText="1"/>
      <protection locked="0"/>
    </xf>
    <xf numFmtId="0" fontId="0" fillId="5" borderId="0" xfId="0" applyFill="1"/>
    <xf numFmtId="0" fontId="10" fillId="5" borderId="1" xfId="0" applyFont="1" applyFill="1" applyBorder="1"/>
    <xf numFmtId="2" fontId="0" fillId="0" borderId="7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0" fontId="16" fillId="11" borderId="1" xfId="0" applyFont="1" applyFill="1" applyBorder="1"/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0" xfId="5" applyFont="1"/>
    <xf numFmtId="0" fontId="17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0" fillId="12" borderId="0" xfId="0" applyFill="1" applyAlignment="1">
      <alignment wrapText="1"/>
    </xf>
    <xf numFmtId="0" fontId="0" fillId="9" borderId="17" xfId="0" applyFill="1" applyBorder="1" applyAlignment="1">
      <alignment horizontal="center"/>
    </xf>
    <xf numFmtId="0" fontId="0" fillId="9" borderId="18" xfId="0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7" fillId="0" borderId="15" xfId="0" applyFont="1" applyBorder="1" applyAlignment="1" applyProtection="1">
      <alignment horizontal="center" wrapText="1"/>
      <protection locked="0"/>
    </xf>
    <xf numFmtId="0" fontId="7" fillId="0" borderId="15" xfId="0" applyFont="1" applyBorder="1" applyAlignment="1">
      <alignment horizontal="center" wrapText="1"/>
    </xf>
    <xf numFmtId="0" fontId="7" fillId="7" borderId="15" xfId="0" applyFont="1" applyFill="1" applyBorder="1" applyAlignment="1" applyProtection="1">
      <alignment horizontal="center" wrapText="1"/>
      <protection locked="0"/>
    </xf>
    <xf numFmtId="0" fontId="7" fillId="8" borderId="15" xfId="0" applyFont="1" applyFill="1" applyBorder="1" applyAlignment="1" applyProtection="1">
      <alignment horizontal="center" wrapText="1"/>
      <protection locked="0"/>
    </xf>
    <xf numFmtId="0" fontId="7" fillId="5" borderId="15" xfId="0" applyFont="1" applyFill="1" applyBorder="1" applyAlignment="1" applyProtection="1">
      <alignment horizontal="center" wrapText="1"/>
      <protection locked="0"/>
    </xf>
    <xf numFmtId="165" fontId="0" fillId="9" borderId="8" xfId="0" applyNumberFormat="1" applyFill="1" applyBorder="1" applyAlignment="1">
      <alignment horizontal="center"/>
    </xf>
    <xf numFmtId="165" fontId="0" fillId="9" borderId="13" xfId="0" applyNumberFormat="1" applyFill="1" applyBorder="1" applyAlignment="1">
      <alignment horizontal="center"/>
    </xf>
    <xf numFmtId="165" fontId="0" fillId="9" borderId="14" xfId="0" applyNumberFormat="1" applyFill="1" applyBorder="1" applyAlignment="1">
      <alignment horizontal="center"/>
    </xf>
    <xf numFmtId="0" fontId="0" fillId="9" borderId="20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6" fillId="8" borderId="15" xfId="0" applyFont="1" applyFill="1" applyBorder="1" applyAlignment="1" applyProtection="1">
      <alignment horizontal="center"/>
      <protection locked="0"/>
    </xf>
    <xf numFmtId="0" fontId="0" fillId="13" borderId="7" xfId="0" applyFill="1" applyBorder="1" applyAlignment="1">
      <alignment horizontal="center"/>
    </xf>
    <xf numFmtId="165" fontId="0" fillId="9" borderId="7" xfId="0" applyNumberForma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9" borderId="4" xfId="0" applyNumberFormat="1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165" fontId="0" fillId="9" borderId="11" xfId="0" applyNumberFormat="1" applyFill="1" applyBorder="1" applyAlignment="1">
      <alignment horizontal="center"/>
    </xf>
    <xf numFmtId="0" fontId="0" fillId="0" borderId="15" xfId="0" applyBorder="1" applyAlignment="1" applyProtection="1">
      <alignment horizontal="center"/>
      <protection locked="0"/>
    </xf>
    <xf numFmtId="0" fontId="0" fillId="0" borderId="15" xfId="0" applyBorder="1" applyAlignment="1">
      <alignment horizontal="center"/>
    </xf>
    <xf numFmtId="49" fontId="0" fillId="0" borderId="15" xfId="0" applyNumberFormat="1" applyBorder="1" applyAlignment="1" applyProtection="1">
      <alignment horizontal="center"/>
      <protection locked="0"/>
    </xf>
    <xf numFmtId="0" fontId="0" fillId="13" borderId="15" xfId="0" applyFill="1" applyBorder="1" applyAlignment="1">
      <alignment horizontal="center"/>
    </xf>
    <xf numFmtId="165" fontId="0" fillId="9" borderId="15" xfId="0" applyNumberFormat="1" applyFill="1" applyBorder="1" applyAlignment="1">
      <alignment horizontal="center"/>
    </xf>
    <xf numFmtId="2" fontId="0" fillId="0" borderId="15" xfId="0" applyNumberForma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165" fontId="0" fillId="9" borderId="23" xfId="0" applyNumberFormat="1" applyFill="1" applyBorder="1" applyAlignment="1">
      <alignment horizontal="center"/>
    </xf>
    <xf numFmtId="0" fontId="0" fillId="9" borderId="24" xfId="0" applyFill="1" applyBorder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  <xf numFmtId="165" fontId="0" fillId="3" borderId="0" xfId="0" applyNumberForma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wrapText="1"/>
    </xf>
    <xf numFmtId="165" fontId="0" fillId="3" borderId="0" xfId="0" applyNumberFormat="1" applyFill="1" applyAlignment="1">
      <alignment horizontal="center"/>
    </xf>
    <xf numFmtId="0" fontId="0" fillId="0" borderId="0" xfId="0" applyAlignment="1">
      <alignment horizontal="right" wrapText="1"/>
    </xf>
    <xf numFmtId="0" fontId="0" fillId="12" borderId="0" xfId="0" applyFill="1" applyAlignment="1">
      <alignment horizontal="right" wrapText="1"/>
    </xf>
    <xf numFmtId="0" fontId="0" fillId="3" borderId="0" xfId="0" applyFill="1" applyAlignment="1">
      <alignment horizontal="right" wrapText="1"/>
    </xf>
    <xf numFmtId="0" fontId="9" fillId="3" borderId="0" xfId="1" applyNumberForma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1" fontId="9" fillId="0" borderId="0" xfId="1" applyNumberFormat="1" applyBorder="1" applyAlignment="1" applyProtection="1">
      <alignment horizontal="left" vertical="top"/>
      <protection locked="0"/>
    </xf>
    <xf numFmtId="0" fontId="0" fillId="5" borderId="0" xfId="0" applyFill="1" applyAlignment="1">
      <alignment horizontal="center" vertical="center"/>
    </xf>
    <xf numFmtId="1" fontId="9" fillId="12" borderId="0" xfId="1" applyNumberFormat="1" applyFill="1" applyBorder="1" applyAlignment="1" applyProtection="1">
      <alignment horizontal="center" vertical="center"/>
    </xf>
    <xf numFmtId="0" fontId="0" fillId="0" borderId="0" xfId="0" applyAlignment="1">
      <alignment horizontal="left" wrapText="1"/>
    </xf>
    <xf numFmtId="0" fontId="0" fillId="0" borderId="2" xfId="0" applyBorder="1" applyAlignment="1">
      <alignment horizontal="center" vertical="center"/>
    </xf>
    <xf numFmtId="165" fontId="0" fillId="10" borderId="0" xfId="0" applyNumberFormat="1" applyFill="1" applyAlignment="1" applyProtection="1">
      <alignment horizontal="center"/>
      <protection locked="0"/>
    </xf>
    <xf numFmtId="0" fontId="0" fillId="0" borderId="12" xfId="0" applyBorder="1" applyAlignment="1">
      <alignment horizontal="center" wrapText="1"/>
    </xf>
    <xf numFmtId="165" fontId="0" fillId="10" borderId="0" xfId="0" applyNumberFormat="1" applyFill="1" applyAlignment="1">
      <alignment horizontal="center"/>
    </xf>
    <xf numFmtId="0" fontId="3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right"/>
    </xf>
    <xf numFmtId="1" fontId="9" fillId="3" borderId="0" xfId="1" applyNumberFormat="1" applyFill="1" applyBorder="1" applyAlignment="1" applyProtection="1">
      <alignment horizontal="center" vertical="center"/>
    </xf>
    <xf numFmtId="0" fontId="0" fillId="4" borderId="0" xfId="0" applyFill="1" applyAlignment="1">
      <alignment horizontal="center" wrapText="1"/>
    </xf>
    <xf numFmtId="0" fontId="0" fillId="0" borderId="0" xfId="0" applyAlignment="1">
      <alignment horizontal="right"/>
    </xf>
    <xf numFmtId="1" fontId="9" fillId="0" borderId="0" xfId="1" applyNumberFormat="1" applyBorder="1" applyAlignment="1" applyProtection="1">
      <alignment horizontal="center" vertical="center"/>
      <protection locked="0"/>
    </xf>
    <xf numFmtId="0" fontId="6" fillId="7" borderId="16" xfId="0" applyFont="1" applyFill="1" applyBorder="1" applyAlignment="1" applyProtection="1">
      <alignment horizontal="center"/>
      <protection locked="0"/>
    </xf>
    <xf numFmtId="0" fontId="6" fillId="5" borderId="3" xfId="0" applyFont="1" applyFill="1" applyBorder="1" applyAlignment="1" applyProtection="1">
      <alignment horizont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30"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protection locked="1" hidden="0"/>
    </dxf>
    <dxf>
      <numFmt numFmtId="165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65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fill>
        <patternFill patternType="solid">
          <fgColor rgb="FFD0CECE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205740</xdr:colOff>
      <xdr:row>6</xdr:row>
      <xdr:rowOff>45720</xdr:rowOff>
    </xdr:from>
    <xdr:to>
      <xdr:col>11</xdr:col>
      <xdr:colOff>146369</xdr:colOff>
      <xdr:row>12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02CFEA-2EDF-46DF-846B-2B65F07A37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11490960" y="2735580"/>
          <a:ext cx="2523809" cy="173736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2:T98" totalsRowShown="0">
  <autoFilter ref="A2:T98" xr:uid="{00000000-0009-0000-0100-000003000000}"/>
  <tableColumns count="20">
    <tableColumn id="1" xr3:uid="{00000000-0010-0000-0000-000001000000}" name="#" dataDxfId="29"/>
    <tableColumn id="16" xr3:uid="{D11167BC-CEB0-4BCF-918C-7AFD807B17A9}" name="Column" dataDxfId="28">
      <calculatedColumnFormula>RIGHT(tbl_SeqLib[[#This Row],[Well]],LEN(tbl_SeqLib[[#This Row],[Well]])-1)</calculatedColumnFormula>
    </tableColumn>
    <tableColumn id="2" xr3:uid="{00000000-0010-0000-0000-000002000000}" name="Well" dataDxfId="27"/>
    <tableColumn id="3" xr3:uid="{00000000-0010-0000-0000-000003000000}" name="Sample ID" dataDxfId="26"/>
    <tableColumn id="4" xr3:uid="{00000000-0010-0000-0000-000004000000}" name="Extraction ID" dataDxfId="25"/>
    <tableColumn id="26" xr3:uid="{CDAB9BF6-0E65-46A9-85EA-6751A98F15D6}" name="Sample Type" dataDxfId="24"/>
    <tableColumn id="9" xr3:uid="{00000000-0010-0000-0000-000009000000}" name="PCR [DNA] (ng / µl)" dataDxfId="23"/>
    <tableColumn id="10" xr3:uid="{00000000-0010-0000-0000-00000A000000}" name="Barcode#" dataDxfId="22"/>
    <tableColumn id="5" xr3:uid="{4A2079CE-372F-4EB9-BB3E-B8464F7C589B}" name="DNA conc present" dataDxfId="21">
      <calculatedColumnFormula>IF(LEN(tbl_SeqLib[[#This Row],[PCR '[DNA'] (ng / µl)]])&gt;0,1,0)</calculatedColumnFormula>
    </tableColumn>
    <tableColumn id="6" xr3:uid="{317F7BA6-34BE-4C94-97BD-482A8A259574}" name="Sample ID present" dataDxfId="20">
      <calculatedColumnFormula>IF(LEN(tbl_SeqLib[[#This Row],[Sample ID]])&gt;0,1,0)</calculatedColumnFormula>
    </tableColumn>
    <tableColumn id="17" xr3:uid="{492460D6-379B-46CE-A5FF-53A7A717A821}" name="One or more entries in column" dataDxfId="19">
      <calculatedColumnFormula>IF(SUMIF(tbl_SeqLib[Column],tbl_SeqLib[[#This Row],[Column]],tbl_SeqLib[DNA conc present])&gt;0,1,0)</calculatedColumnFormula>
    </tableColumn>
    <tableColumn id="19" xr3:uid="{4445273D-93AC-4E42-BAB1-B602CE39DC88}" name="Calculate" dataDxfId="18">
      <calculatedColumnFormula>IF(SUM(tbl_SeqLib[[#This Row],[DNA conc present]:[Sample ID present]])&gt;0,1,0)</calculatedColumnFormula>
    </tableColumn>
    <tableColumn id="14" xr3:uid="{001B4B8A-7DCB-4BB4-B720-5DA9C2A7387A}" name="Exact" dataDxfId="17">
      <calculatedColumnFormula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calculatedColumnFormula>
    </tableColumn>
    <tableColumn id="20" xr3:uid="{1FEA1346-E871-470E-AA2A-C8AFB0F9A249}" name="Max vol for col" dataDxfId="16">
      <calculatedColumnFormula>ROUNDDOWN(_xlfn.MAXIFS(tbl_SeqLib[Exact],tbl_SeqLib[Column],tbl_SeqLib[[#This Row],[Column]]),1)</calculatedColumnFormula>
    </tableColumn>
    <tableColumn id="22" xr3:uid="{3DBE046E-BBA1-40FE-9D15-A56B3030C6C7}" name="Avg per plate" dataDxfId="15">
      <calculatedColumnFormula>AVERAGE(tbl_SeqLib[Exact])</calculatedColumnFormula>
    </tableColumn>
    <tableColumn id="23" xr3:uid="{C00DCD81-1FEF-4ABB-8CC7-499C0C2570E9}" name="Max per plate" dataDxfId="14">
      <calculatedColumnFormula>MAX(tbl_SeqLib[Exact])</calculatedColumnFormula>
    </tableColumn>
    <tableColumn id="11" xr3:uid="{00000000-0010-0000-0000-00000B000000}" name="PCR product (µl) to add (calculated)" dataDxfId="13">
      <calculatedColumnFormula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calculatedColumnFormula>
    </tableColumn>
    <tableColumn id="15" xr3:uid="{22CC5A4D-2B43-425F-9880-9E27A697A4AC}" name="PCR product (µl) added (if different from calculated)" dataDxfId="12"/>
    <tableColumn id="12" xr3:uid="{00000000-0010-0000-0000-00000C000000}" name="NF H20 (µl)" dataDxfId="11">
      <calculatedColumnFormula>IF(tbl_SeqLib[[#This Row],[Calculate]],SUM(endrepair_maxvol-SUM(tbl_SeqLib[[#This Row],[PCR product (µl) to add (calculated)]:[PCR product (µl) added (if different from calculated)]])),"")</calculatedColumnFormula>
    </tableColumn>
    <tableColumn id="13" xr3:uid="{00000000-0010-0000-0000-00000D000000}" name="SeqLib Identifier" dataDxfId="10">
      <calculatedColumnFormula>IF(ISBLANK(#REF!),"",CONCATENATE(exp_id,"_",tbl_SeqLib[[#This Row],[Well]]))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bl_expt_metadata" displayName="tbl_expt_metadata" ref="A1:L2" totalsRowShown="0">
  <autoFilter ref="A1:L2" xr:uid="{00000000-0009-0000-0100-000001000000}"/>
  <tableColumns count="12">
    <tableColumn id="1" xr3:uid="{00000000-0010-0000-0100-000001000000}" name="expt_id">
      <calculatedColumnFormula>IF(LEN(exp_id)=0,"",exp_id)</calculatedColumnFormula>
    </tableColumn>
    <tableColumn id="2" xr3:uid="{00000000-0010-0000-0100-000002000000}" name="expt_date">
      <calculatedColumnFormula>IF(LEN(exp_date)=0,"",exp_date)</calculatedColumnFormula>
    </tableColumn>
    <tableColumn id="3" xr3:uid="{00000000-0010-0000-0100-000003000000}" name="expt_user">
      <calculatedColumnFormula>IF(LEN(user_name)=0,"",user_name)</calculatedColumnFormula>
    </tableColumn>
    <tableColumn id="4" xr3:uid="{00000000-0010-0000-0100-000004000000}" name="expt_type">
      <calculatedColumnFormula>IF(LEN(exp_type)=0,"",exp_type)</calculatedColumnFormula>
    </tableColumn>
    <tableColumn id="26" xr3:uid="{DCE670F6-1D5A-4D1C-9C49-F54CC2F95FEC}" name="expt_sub-type">
      <calculatedColumnFormula>exp_subtype</calculatedColumnFormula>
    </tableColumn>
    <tableColumn id="5" xr3:uid="{00000000-0010-0000-0100-000005000000}" name="expt_version">
      <calculatedColumnFormula>IF(LEN(exp_version)=0,"",exp_version)</calculatedColumnFormula>
    </tableColumn>
    <tableColumn id="6" xr3:uid="{00000000-0010-0000-0100-000006000000}" name="expt_notes">
      <calculatedColumnFormula>IF(LEN(exp_notes)=0,"",exp_notes)</calculatedColumnFormula>
    </tableColumn>
    <tableColumn id="7" xr3:uid="{00000000-0010-0000-0100-000007000000}" name="expt_summary">
      <calculatedColumnFormula>IF(LEN(exp_summary)=0,"",exp_summary)</calculatedColumnFormula>
    </tableColumn>
    <tableColumn id="8" xr3:uid="{00000000-0010-0000-0100-000008000000}" name="expt_rxns">
      <calculatedColumnFormula>IF(exp_rxns=0,"",exp_rxns)</calculatedColumnFormula>
    </tableColumn>
    <tableColumn id="14" xr3:uid="{00000000-0010-0000-0100-00000E000000}" name="library_dnaconc_ngul">
      <calculatedColumnFormula>IF(DNAconc_pooled=0,"",DNAconc_pooled)</calculatedColumnFormula>
    </tableColumn>
    <tableColumn id="9" xr3:uid="{7465B1B0-7CCF-4F1B-87AF-E06C52FE6CF9}" name="flowcell_massloaded_ng">
      <calculatedColumnFormula>IFERROR(SUM(adaptlig_rxn_vol*DNAconc_pooled), "")</calculatedColumnFormula>
    </tableColumn>
    <tableColumn id="21" xr3:uid="{00000000-0010-0000-0100-000015000000}" name="flowcell_checkpores">
      <calculatedColumnFormula>IF(LEN(flowcell_checkpores)=0,"",flowcell_checkpores)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rxn_metadata" displayName="tbl_rxn_metadata" ref="A1:E97" totalsRowShown="0">
  <autoFilter ref="A1:E97" xr:uid="{00000000-0009-0000-0100-000002000000}"/>
  <tableColumns count="5">
    <tableColumn id="1" xr3:uid="{00000000-0010-0000-0200-000001000000}" name="sample_id"/>
    <tableColumn id="2" xr3:uid="{00000000-0010-0000-0200-000002000000}" name="extraction_id"/>
    <tableColumn id="9" xr3:uid="{98E62512-61AC-41C9-8930-37E9E6964CA3}" name="sample_type" dataDxfId="9">
      <calculatedColumnFormula>IF(LEN(Library!F3)=0,"",Library!F3)</calculatedColumnFormula>
    </tableColumn>
    <tableColumn id="7" xr3:uid="{00000000-0010-0000-0200-000007000000}" name="barcode" dataDxfId="8">
      <calculatedColumnFormula>IF(ISBLANK(Library!D3),"",CONCATENATE("barcode",Library!H3))</calculatedColumnFormula>
    </tableColumn>
    <tableColumn id="8" xr3:uid="{00000000-0010-0000-0200-000008000000}" name="pcrproductadded_vol_ul">
      <calculatedColumnFormula>IF(LEN(Library!Q3)=0,"",IF(Library!R3&gt;0,Library!R3,Library!Q3))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Q46"/>
  <sheetViews>
    <sheetView zoomScale="160" zoomScaleNormal="160" workbookViewId="0">
      <selection activeCell="C6" sqref="C2:F6"/>
    </sheetView>
  </sheetViews>
  <sheetFormatPr defaultColWidth="8.59765625" defaultRowHeight="15.6" x14ac:dyDescent="0.3"/>
  <cols>
    <col min="1" max="8" width="9" style="2" customWidth="1"/>
  </cols>
  <sheetData>
    <row r="1" spans="1:12" x14ac:dyDescent="0.3">
      <c r="A1" s="101" t="s">
        <v>269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</row>
    <row r="2" spans="1:12" ht="15.75" customHeight="1" x14ac:dyDescent="0.3">
      <c r="A2" s="88" t="s">
        <v>0</v>
      </c>
      <c r="B2" s="88"/>
      <c r="C2" s="102"/>
      <c r="D2" s="102"/>
      <c r="E2" s="102"/>
      <c r="F2" s="102"/>
      <c r="G2" s="96" t="s">
        <v>1</v>
      </c>
      <c r="H2" s="96"/>
      <c r="J2" s="103" t="s">
        <v>2</v>
      </c>
      <c r="K2" s="103"/>
    </row>
    <row r="3" spans="1:12" ht="15.75" customHeight="1" x14ac:dyDescent="0.3">
      <c r="A3" s="88" t="s">
        <v>327</v>
      </c>
      <c r="B3" s="88"/>
      <c r="C3" s="104"/>
      <c r="D3" s="104"/>
      <c r="E3" s="104"/>
      <c r="F3" s="104"/>
      <c r="G3" t="s">
        <v>314</v>
      </c>
      <c r="J3" s="105" t="s">
        <v>3</v>
      </c>
      <c r="K3" s="105"/>
    </row>
    <row r="4" spans="1:12" ht="15.75" customHeight="1" x14ac:dyDescent="0.3">
      <c r="A4" s="88" t="s">
        <v>312</v>
      </c>
      <c r="B4" s="88"/>
      <c r="C4" s="81"/>
      <c r="D4" s="81"/>
      <c r="E4" s="81"/>
      <c r="F4" s="81"/>
      <c r="G4" t="s">
        <v>331</v>
      </c>
      <c r="J4" s="106" t="s">
        <v>6</v>
      </c>
      <c r="K4" s="106"/>
    </row>
    <row r="5" spans="1:12" ht="15.75" customHeight="1" x14ac:dyDescent="0.3">
      <c r="A5" s="88" t="s">
        <v>4</v>
      </c>
      <c r="B5" s="88"/>
      <c r="C5" s="102"/>
      <c r="D5" s="102"/>
      <c r="E5" s="102"/>
      <c r="F5" s="102"/>
      <c r="G5" s="3" t="s">
        <v>5</v>
      </c>
      <c r="J5" s="110" t="s">
        <v>9</v>
      </c>
      <c r="K5" s="110"/>
    </row>
    <row r="6" spans="1:12" ht="15.75" customHeight="1" x14ac:dyDescent="0.3">
      <c r="A6" s="111" t="s">
        <v>11</v>
      </c>
      <c r="B6" s="111"/>
      <c r="C6" s="112"/>
      <c r="D6" s="112"/>
      <c r="E6" s="112"/>
      <c r="F6" s="112"/>
      <c r="G6" s="4" t="s">
        <v>315</v>
      </c>
      <c r="J6" s="110"/>
      <c r="K6" s="110"/>
    </row>
    <row r="7" spans="1:12" ht="15.75" customHeight="1" x14ac:dyDescent="0.3">
      <c r="A7" s="90" t="s">
        <v>7</v>
      </c>
      <c r="B7" s="90"/>
      <c r="C7" s="107" t="str">
        <f>IF(OR(ISBLANK(C3),ISBLANK(C5)),"",CONCATENATE("SL",user_initials,C5))</f>
        <v/>
      </c>
      <c r="D7" s="107"/>
      <c r="E7" s="107"/>
      <c r="F7" s="107"/>
      <c r="G7" s="4" t="s">
        <v>8</v>
      </c>
    </row>
    <row r="8" spans="1:12" ht="15.75" customHeight="1" x14ac:dyDescent="0.3">
      <c r="A8" s="90" t="s">
        <v>10</v>
      </c>
      <c r="B8" s="90"/>
      <c r="C8" s="91" t="str">
        <f>IF(OR(ISBLANK(C2),ISBLANK(C3),ISBLANK(C5)),"",CONCATENATE(C2,"_",C7))</f>
        <v/>
      </c>
      <c r="D8" s="91"/>
      <c r="E8" s="91"/>
      <c r="F8" s="91"/>
    </row>
    <row r="9" spans="1:12" ht="15.75" customHeight="1" x14ac:dyDescent="0.3">
      <c r="A9" s="108" t="s">
        <v>12</v>
      </c>
      <c r="B9" s="108"/>
      <c r="C9" s="109" t="str">
        <f>IF(OR(LEN(C8)=0,LEN(exp_summary)=0),"",CONCATENATE(C8,"_",exp_summary))</f>
        <v/>
      </c>
      <c r="D9" s="109"/>
      <c r="E9" s="109"/>
      <c r="F9" s="109"/>
      <c r="G9" s="109"/>
      <c r="H9" s="109"/>
    </row>
    <row r="10" spans="1:12" ht="15.75" customHeight="1" x14ac:dyDescent="0.3">
      <c r="A10" s="89" t="s">
        <v>13</v>
      </c>
      <c r="B10" s="89"/>
      <c r="C10" s="95">
        <f>COUNTA(tbl_SeqLib[Sample ID])</f>
        <v>0</v>
      </c>
      <c r="D10" s="95"/>
      <c r="E10" s="95"/>
      <c r="F10" s="95"/>
      <c r="G10" s="4" t="s">
        <v>313</v>
      </c>
    </row>
    <row r="11" spans="1:12" ht="15.75" customHeight="1" x14ac:dyDescent="0.3">
      <c r="A11" s="88" t="s">
        <v>14</v>
      </c>
      <c r="B11" s="88"/>
      <c r="C11" s="93"/>
      <c r="D11" s="93"/>
      <c r="E11" s="93"/>
      <c r="F11" s="93"/>
      <c r="G11" s="93"/>
      <c r="H11" s="93"/>
      <c r="I11" s="93"/>
      <c r="J11" s="93"/>
      <c r="K11" s="93"/>
    </row>
    <row r="12" spans="1:12" x14ac:dyDescent="0.3">
      <c r="A12" s="1"/>
      <c r="B12" s="1"/>
      <c r="C12" s="93"/>
      <c r="D12" s="93"/>
      <c r="E12" s="93"/>
      <c r="F12" s="93"/>
      <c r="G12" s="93"/>
      <c r="H12" s="93"/>
      <c r="I12" s="93"/>
      <c r="J12" s="93"/>
      <c r="K12" s="93"/>
    </row>
    <row r="13" spans="1:12" x14ac:dyDescent="0.3">
      <c r="C13" s="5"/>
    </row>
    <row r="14" spans="1:12" x14ac:dyDescent="0.3">
      <c r="A14" s="6" t="s">
        <v>15</v>
      </c>
      <c r="C14" s="7"/>
      <c r="E14" s="8"/>
      <c r="G14" s="7"/>
    </row>
    <row r="15" spans="1:12" x14ac:dyDescent="0.3">
      <c r="A15" s="8" t="str">
        <f>_xlfn.CONCAT("1. Add ", pcr_product_targetmass_per_sample, " ng of clean PCR product into a fresh plate according to concentration.")</f>
        <v>1. Add 200 ng of clean PCR product into a fresh plate according to concentration.</v>
      </c>
      <c r="B15" s="8"/>
      <c r="C15" s="8"/>
      <c r="D15" s="8"/>
      <c r="E15" s="8"/>
      <c r="H15" s="4"/>
      <c r="I15" s="94" t="s">
        <v>16</v>
      </c>
      <c r="J15" s="94"/>
      <c r="K15" s="94"/>
    </row>
    <row r="16" spans="1:12" ht="16.2" thickBot="1" x14ac:dyDescent="0.35">
      <c r="A16" s="8" t="s">
        <v>273</v>
      </c>
      <c r="B16" s="8"/>
      <c r="C16" s="8"/>
      <c r="D16" s="8"/>
      <c r="E16" s="8"/>
      <c r="G16" s="8"/>
      <c r="I16" s="84" t="s">
        <v>19</v>
      </c>
      <c r="J16" s="84"/>
      <c r="K16" s="9" t="s">
        <v>20</v>
      </c>
    </row>
    <row r="17" spans="1:17" x14ac:dyDescent="0.3">
      <c r="A17" s="8"/>
      <c r="B17" s="8"/>
      <c r="C17" s="8"/>
      <c r="D17" s="8"/>
      <c r="E17" s="8"/>
      <c r="G17" s="8"/>
      <c r="I17" s="92">
        <v>30</v>
      </c>
      <c r="J17" s="92"/>
      <c r="K17" s="2" t="s">
        <v>21</v>
      </c>
    </row>
    <row r="18" spans="1:17" x14ac:dyDescent="0.3">
      <c r="A18" s="8"/>
      <c r="B18" s="8"/>
      <c r="C18" s="8"/>
      <c r="D18" s="8"/>
      <c r="E18" s="8"/>
      <c r="G18" s="8"/>
      <c r="I18" s="92">
        <v>30</v>
      </c>
      <c r="J18" s="92"/>
      <c r="K18" s="7">
        <v>2</v>
      </c>
    </row>
    <row r="19" spans="1:17" x14ac:dyDescent="0.3">
      <c r="A19" s="8"/>
      <c r="B19" s="8"/>
      <c r="C19" s="8"/>
      <c r="D19" s="8"/>
      <c r="E19" s="8"/>
      <c r="G19" s="8"/>
      <c r="I19" s="92">
        <v>80</v>
      </c>
      <c r="J19" s="92"/>
      <c r="K19" s="2">
        <v>2</v>
      </c>
    </row>
    <row r="20" spans="1:17" x14ac:dyDescent="0.3">
      <c r="A20" s="8"/>
      <c r="B20" s="8"/>
      <c r="C20" s="8"/>
      <c r="D20" s="8"/>
      <c r="E20" s="8"/>
      <c r="G20" s="8"/>
      <c r="I20" s="92">
        <v>8</v>
      </c>
      <c r="J20" s="92"/>
      <c r="K20" s="2" t="s">
        <v>21</v>
      </c>
    </row>
    <row r="21" spans="1:17" x14ac:dyDescent="0.3">
      <c r="A21" s="6" t="s">
        <v>22</v>
      </c>
      <c r="C21" s="7"/>
    </row>
    <row r="22" spans="1:17" ht="15.75" customHeight="1" x14ac:dyDescent="0.3">
      <c r="A22" s="8" t="s">
        <v>271</v>
      </c>
      <c r="B22" s="8"/>
      <c r="C22" s="8"/>
      <c r="D22" s="8"/>
      <c r="E22" s="8"/>
      <c r="F22" s="8"/>
      <c r="G22" s="18"/>
    </row>
    <row r="23" spans="1:17" ht="30.75" customHeight="1" x14ac:dyDescent="0.3">
      <c r="A23" s="96" t="str">
        <f>_xlfn.CONCAT("2. Clean up: Add 0.5x vol (", SUM(5*exp_rxns)*0.5,"µl) AMPPure beads for 5 min RT with mixing, wash with fresh 80% EtOH, spin, dry, re-suspend in 15 µl EB (10 min @RT) and transfer eluate to fresh tube")</f>
        <v>2. Clean up: Add 0.5x vol (0µl) AMPPure beads for 5 min RT with mixing, wash with fresh 80% EtOH, spin, dry, re-suspend in 15 µl EB (10 min @RT) and transfer eluate to fresh tube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</row>
    <row r="24" spans="1:17" ht="15.75" customHeight="1" x14ac:dyDescent="0.3">
      <c r="A24" s="8" t="s">
        <v>289</v>
      </c>
      <c r="B24" s="8"/>
      <c r="C24" s="8"/>
      <c r="D24" s="8"/>
      <c r="E24" s="8"/>
      <c r="F24" s="8"/>
      <c r="G24" s="8"/>
    </row>
    <row r="25" spans="1:17" ht="46.5" customHeight="1" thickBot="1" x14ac:dyDescent="0.35">
      <c r="A25" s="10" t="s">
        <v>23</v>
      </c>
      <c r="B25" s="11" t="s">
        <v>24</v>
      </c>
      <c r="C25" s="11" t="s">
        <v>25</v>
      </c>
      <c r="D25" s="86" t="s">
        <v>26</v>
      </c>
      <c r="E25" s="86"/>
      <c r="F25" s="99" t="s">
        <v>303</v>
      </c>
      <c r="G25" s="99"/>
      <c r="H25" s="99" t="s">
        <v>304</v>
      </c>
      <c r="I25" s="99"/>
    </row>
    <row r="26" spans="1:17" ht="16.2" thickTop="1" x14ac:dyDescent="0.3">
      <c r="A26" s="12">
        <f>SUM(exp_rxns*5)*0.5</f>
        <v>0</v>
      </c>
      <c r="B26" s="21"/>
      <c r="C26" s="21">
        <v>10</v>
      </c>
      <c r="D26" s="97">
        <f>SUM(B26*C26)</f>
        <v>0</v>
      </c>
      <c r="E26" s="97"/>
      <c r="F26" s="98" t="str">
        <f>IFERROR(IF(SUM(flowcell_targetmass/DNAconc_pooled)&gt;adaptlig_maxvol_ul,adaptlig_maxvol_ul, ROUNDUP(SUM(flowcell_targetmass/DNAconc_pooled),1)),"")</f>
        <v/>
      </c>
      <c r="G26" s="98"/>
      <c r="H26" s="100" t="str">
        <f>IFERROR(SUM(adaptlig_maxvol_ul-F26),"")</f>
        <v/>
      </c>
      <c r="I26" s="100"/>
    </row>
    <row r="28" spans="1:17" x14ac:dyDescent="0.3">
      <c r="A28" s="6" t="s">
        <v>27</v>
      </c>
    </row>
    <row r="29" spans="1:17" x14ac:dyDescent="0.3">
      <c r="A29" s="8" t="s">
        <v>305</v>
      </c>
      <c r="B29" s="8"/>
      <c r="C29" s="8"/>
      <c r="G29" s="4"/>
    </row>
    <row r="30" spans="1:17" x14ac:dyDescent="0.3">
      <c r="A30" s="8" t="str">
        <f>_xlfn.CONCAT("2. Add 1 µl of diluted RA + ADB to the ", adaptlig_maxvol_ul, " µl of adapter ligated cleaned pooled DNA")</f>
        <v>2. Add 1 µl of diluted RA + ADB to the 10 µl of adapter ligated cleaned pooled DNA</v>
      </c>
      <c r="B30" s="8"/>
      <c r="C30" s="8"/>
    </row>
    <row r="31" spans="1:17" x14ac:dyDescent="0.3">
      <c r="A31" s="4" t="s">
        <v>272</v>
      </c>
      <c r="B31" s="8"/>
      <c r="C31" s="8"/>
      <c r="G31" s="4"/>
      <c r="Q31" s="2"/>
    </row>
    <row r="33" spans="1:6" x14ac:dyDescent="0.3">
      <c r="A33" s="6" t="s">
        <v>306</v>
      </c>
    </row>
    <row r="34" spans="1:6" x14ac:dyDescent="0.3">
      <c r="A34" s="88" t="s">
        <v>30</v>
      </c>
      <c r="B34" s="88"/>
      <c r="C34" s="81"/>
      <c r="D34" s="81"/>
      <c r="E34" s="8" t="s">
        <v>31</v>
      </c>
    </row>
    <row r="35" spans="1:6" x14ac:dyDescent="0.3">
      <c r="A35" s="8" t="s">
        <v>307</v>
      </c>
    </row>
    <row r="36" spans="1:6" x14ac:dyDescent="0.3">
      <c r="A36" s="8" t="s">
        <v>308</v>
      </c>
    </row>
    <row r="37" spans="1:6" x14ac:dyDescent="0.3">
      <c r="A37" s="8" t="s">
        <v>309</v>
      </c>
    </row>
    <row r="38" spans="1:6" x14ac:dyDescent="0.3">
      <c r="A38" s="8" t="s">
        <v>310</v>
      </c>
    </row>
    <row r="40" spans="1:6" x14ac:dyDescent="0.3">
      <c r="A40" s="6" t="s">
        <v>311</v>
      </c>
    </row>
    <row r="41" spans="1:6" ht="15.75" customHeight="1" thickBot="1" x14ac:dyDescent="0.35">
      <c r="A41" s="84" t="s">
        <v>17</v>
      </c>
      <c r="B41" s="84"/>
      <c r="C41" s="84"/>
      <c r="D41" s="85" t="s">
        <v>18</v>
      </c>
      <c r="E41" s="85"/>
    </row>
    <row r="42" spans="1:6" ht="15.75" customHeight="1" x14ac:dyDescent="0.3">
      <c r="A42" s="86" t="s">
        <v>28</v>
      </c>
      <c r="B42" s="86"/>
      <c r="C42" s="86"/>
      <c r="D42" s="87">
        <f>flowcell_maxvol</f>
        <v>11</v>
      </c>
      <c r="E42" s="87"/>
    </row>
    <row r="43" spans="1:6" ht="15.75" customHeight="1" x14ac:dyDescent="0.3">
      <c r="A43" s="82" t="s">
        <v>282</v>
      </c>
      <c r="B43" s="82"/>
      <c r="C43" s="82"/>
      <c r="D43" s="83">
        <v>37.5</v>
      </c>
      <c r="E43" s="83"/>
    </row>
    <row r="44" spans="1:6" ht="15.75" customHeight="1" x14ac:dyDescent="0.3">
      <c r="A44" s="82" t="s">
        <v>283</v>
      </c>
      <c r="B44" s="82"/>
      <c r="C44" s="82"/>
      <c r="D44" s="83">
        <v>25.5</v>
      </c>
      <c r="E44" s="83"/>
      <c r="F44" s="4" t="s">
        <v>29</v>
      </c>
    </row>
    <row r="45" spans="1:6" ht="15.75" customHeight="1" x14ac:dyDescent="0.3">
      <c r="A45" s="8" t="s">
        <v>325</v>
      </c>
      <c r="B45" s="49"/>
      <c r="C45" s="49"/>
      <c r="D45" s="4"/>
      <c r="E45" s="4"/>
      <c r="F45" s="4"/>
    </row>
    <row r="46" spans="1:6" x14ac:dyDescent="0.3">
      <c r="A46" s="50" t="s">
        <v>326</v>
      </c>
      <c r="C46" s="4"/>
    </row>
  </sheetData>
  <sheetProtection sheet="1" objects="1" scenarios="1"/>
  <mergeCells count="49">
    <mergeCell ref="A7:B7"/>
    <mergeCell ref="C7:F7"/>
    <mergeCell ref="A9:B9"/>
    <mergeCell ref="C9:H9"/>
    <mergeCell ref="J5:K6"/>
    <mergeCell ref="A6:B6"/>
    <mergeCell ref="C6:F6"/>
    <mergeCell ref="A3:B3"/>
    <mergeCell ref="C3:F3"/>
    <mergeCell ref="J3:K3"/>
    <mergeCell ref="A5:B5"/>
    <mergeCell ref="C5:F5"/>
    <mergeCell ref="J4:K4"/>
    <mergeCell ref="C4:F4"/>
    <mergeCell ref="A4:B4"/>
    <mergeCell ref="A1:L1"/>
    <mergeCell ref="A2:B2"/>
    <mergeCell ref="C2:F2"/>
    <mergeCell ref="G2:H2"/>
    <mergeCell ref="J2:K2"/>
    <mergeCell ref="A23:L23"/>
    <mergeCell ref="D25:E25"/>
    <mergeCell ref="D26:E26"/>
    <mergeCell ref="F26:G26"/>
    <mergeCell ref="F25:G25"/>
    <mergeCell ref="H25:I25"/>
    <mergeCell ref="H26:I26"/>
    <mergeCell ref="A10:B10"/>
    <mergeCell ref="A8:B8"/>
    <mergeCell ref="C8:F8"/>
    <mergeCell ref="I20:J20"/>
    <mergeCell ref="I17:J17"/>
    <mergeCell ref="I18:J18"/>
    <mergeCell ref="I19:J19"/>
    <mergeCell ref="A11:B11"/>
    <mergeCell ref="C11:K12"/>
    <mergeCell ref="I15:K15"/>
    <mergeCell ref="I16:J16"/>
    <mergeCell ref="C10:F10"/>
    <mergeCell ref="C34:D34"/>
    <mergeCell ref="A43:C43"/>
    <mergeCell ref="D43:E43"/>
    <mergeCell ref="A44:C44"/>
    <mergeCell ref="D44:E44"/>
    <mergeCell ref="A41:C41"/>
    <mergeCell ref="D41:E41"/>
    <mergeCell ref="A42:C42"/>
    <mergeCell ref="D42:E42"/>
    <mergeCell ref="A34:B34"/>
  </mergeCells>
  <conditionalFormatting sqref="C2:C6 C11 B26:C26 C34">
    <cfRule type="expression" dxfId="7" priority="7">
      <formula>COUNTIF(B2,"")</formula>
    </cfRule>
  </conditionalFormatting>
  <conditionalFormatting sqref="C34">
    <cfRule type="cellIs" dxfId="6" priority="8" operator="lessThan">
      <formula>800</formula>
    </cfRule>
    <cfRule type="cellIs" dxfId="5" priority="9" operator="greaterThanOrEqual">
      <formula>800</formula>
    </cfRule>
  </conditionalFormatting>
  <conditionalFormatting sqref="D26">
    <cfRule type="cellIs" dxfId="4" priority="12" operator="lessThan">
      <formula>min_final_pooled_DNA_conc</formula>
    </cfRule>
    <cfRule type="cellIs" dxfId="3" priority="13" operator="greaterThanOrEqual">
      <formula>min_final_pooled_DNA_conc</formula>
    </cfRule>
  </conditionalFormatting>
  <dataValidations count="5">
    <dataValidation allowBlank="1" showInputMessage="1" showErrorMessage="1" errorTitle="Experimental Aim" error="The aim must be 5-20 characters long as it is used to name folders downstream so can not be too verbose." sqref="C9" xr:uid="{00000000-0002-0000-0000-000000000000}">
      <formula1>0</formula1>
      <formula2>0</formula2>
    </dataValidation>
    <dataValidation type="custom" allowBlank="1" showInputMessage="1" showErrorMessage="1" errorTitle="Incorrect Format" error="Exp Number should be three digits long" sqref="C5:F5" xr:uid="{3FDCD9F6-71E1-4031-A5A3-4FE8E285D9A4}">
      <formula1>LEN(C5)=3</formula1>
    </dataValidation>
    <dataValidation type="textLength" operator="equal" allowBlank="1" showInputMessage="1" showErrorMessage="1" error="Please enter the initials for the users first and last name e.g. MW" sqref="C4:F4" xr:uid="{BB18CE5E-08D0-4287-B399-CE130594D4AD}">
      <formula1>2</formula1>
    </dataValidation>
    <dataValidation allowBlank="1" showInputMessage="1" showErrorMessage="1" errorTitle="Experimental Aim" error="The aim must be 5-20 characters long as it is used to name folders downstream so can not be too verbose." sqref="C6:F6" xr:uid="{F42D8FCB-E4D6-47BD-B600-EB6240008F23}"/>
    <dataValidation allowBlank="1" showInputMessage="1" showErrorMessage="1" errorTitle="Incorrect Format" error="Exp Number should be three digits long" sqref="C6:F6" xr:uid="{EC9E207E-5D3C-45B6-9027-A30D867FE803}"/>
  </dataValidations>
  <pageMargins left="0.70833333333333304" right="0.70833333333333304" top="0.74791666666666701" bottom="0.74861111111111101" header="0.511811023622047" footer="0.31527777777777799"/>
  <pageSetup paperSize="9" fitToHeight="0" orientation="portrait" horizontalDpi="300" verticalDpi="300" r:id="rId1"/>
  <headerFooter>
    <oddFooter>&amp;CPage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V108"/>
  <sheetViews>
    <sheetView zoomScaleNormal="100" workbookViewId="0">
      <selection activeCell="Q6" sqref="Q6"/>
    </sheetView>
  </sheetViews>
  <sheetFormatPr defaultColWidth="11" defaultRowHeight="15.6" x14ac:dyDescent="0.3"/>
  <cols>
    <col min="1" max="1" width="5.8984375" bestFit="1" customWidth="1"/>
    <col min="2" max="2" width="10.19921875" hidden="1" customWidth="1"/>
    <col min="3" max="3" width="6.59765625" customWidth="1"/>
    <col min="4" max="6" width="11.8984375" customWidth="1"/>
    <col min="9" max="16" width="11" hidden="1" customWidth="1"/>
    <col min="20" max="20" width="0" hidden="1" customWidth="1"/>
  </cols>
  <sheetData>
    <row r="1" spans="1:22" x14ac:dyDescent="0.3">
      <c r="C1" s="24"/>
      <c r="D1" s="113" t="s">
        <v>32</v>
      </c>
      <c r="E1" s="113"/>
      <c r="F1" s="113"/>
      <c r="G1" s="65" t="s">
        <v>324</v>
      </c>
      <c r="H1" s="114" t="s">
        <v>33</v>
      </c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2" s="10" customFormat="1" ht="95.4" thickBot="1" x14ac:dyDescent="0.45">
      <c r="A2" s="55" t="s">
        <v>34</v>
      </c>
      <c r="B2" s="56" t="s">
        <v>258</v>
      </c>
      <c r="C2" s="55" t="s">
        <v>35</v>
      </c>
      <c r="D2" s="57" t="s">
        <v>330</v>
      </c>
      <c r="E2" s="57" t="s">
        <v>36</v>
      </c>
      <c r="F2" s="57" t="s">
        <v>284</v>
      </c>
      <c r="G2" s="58" t="s">
        <v>37</v>
      </c>
      <c r="H2" s="59" t="s">
        <v>38</v>
      </c>
      <c r="I2" s="59" t="s">
        <v>319</v>
      </c>
      <c r="J2" s="59" t="s">
        <v>320</v>
      </c>
      <c r="K2" s="59" t="s">
        <v>316</v>
      </c>
      <c r="L2" s="59" t="s">
        <v>321</v>
      </c>
      <c r="M2" s="59" t="s">
        <v>328</v>
      </c>
      <c r="N2" s="59" t="s">
        <v>259</v>
      </c>
      <c r="O2" s="59" t="s">
        <v>329</v>
      </c>
      <c r="P2" s="59" t="s">
        <v>262</v>
      </c>
      <c r="Q2" s="59" t="s">
        <v>295</v>
      </c>
      <c r="R2" s="59" t="s">
        <v>296</v>
      </c>
      <c r="S2" s="59" t="s">
        <v>39</v>
      </c>
      <c r="T2" s="33" t="s">
        <v>40</v>
      </c>
    </row>
    <row r="3" spans="1:22" ht="15.75" customHeight="1" x14ac:dyDescent="0.3">
      <c r="A3" s="26">
        <v>1</v>
      </c>
      <c r="B3" s="40" t="str">
        <f>RIGHT(tbl_SeqLib[[#This Row],[Well]],LEN(tbl_SeqLib[[#This Row],[Well]])-1)</f>
        <v>1</v>
      </c>
      <c r="C3" s="27" t="s">
        <v>41</v>
      </c>
      <c r="D3" s="27"/>
      <c r="E3" s="27"/>
      <c r="F3" s="27"/>
      <c r="G3" s="40"/>
      <c r="H3" s="28" t="s">
        <v>42</v>
      </c>
      <c r="I3" s="66">
        <f>IF(LEN(tbl_SeqLib[[#This Row],[PCR '[DNA'] (ng / µl)]])&gt;0,1,0)</f>
        <v>0</v>
      </c>
      <c r="J3" s="66">
        <f>IF(LEN(tbl_SeqLib[[#This Row],[Sample ID]])&gt;0,1,0)</f>
        <v>0</v>
      </c>
      <c r="K3" s="66">
        <f>IF(SUMIF(tbl_SeqLib[Column],tbl_SeqLib[[#This Row],[Column]],tbl_SeqLib[DNA conc present])&gt;0,1,0)</f>
        <v>0</v>
      </c>
      <c r="L3" s="66">
        <f>IF(SUM(tbl_SeqLib[[#This Row],[DNA conc present]:[Sample ID present]])&gt;0,1,0)</f>
        <v>0</v>
      </c>
      <c r="M3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" s="67">
        <f>ROUNDDOWN(_xlfn.MAXIFS(tbl_SeqLib[Exact],tbl_SeqLib[Column],tbl_SeqLib[[#This Row],[Column]]),1)</f>
        <v>0</v>
      </c>
      <c r="O3" s="67" t="e">
        <f>AVERAGE(tbl_SeqLib[Exact])</f>
        <v>#DIV/0!</v>
      </c>
      <c r="P3" s="67">
        <f>MAX(tbl_SeqLib[Exact])</f>
        <v>0</v>
      </c>
      <c r="Q3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" s="36"/>
      <c r="S3" s="60" t="str">
        <f>IF(tbl_SeqLib[[#This Row],[Calculate]],SUM(endrepair_maxvol-SUM(tbl_SeqLib[[#This Row],[PCR product (µl) to add (calculated)]:[PCR product (µl) added (if different from calculated)]])),"")</f>
        <v/>
      </c>
      <c r="T3" s="52" t="str">
        <f>IF(ISBLANK(#REF!),"",CONCATENATE(exp_id,"_",tbl_SeqLib[[#This Row],[Well]]))</f>
        <v>_A1</v>
      </c>
      <c r="V3" s="10"/>
    </row>
    <row r="4" spans="1:22" ht="15.75" customHeight="1" x14ac:dyDescent="0.3">
      <c r="A4" s="29">
        <v>2</v>
      </c>
      <c r="B4" s="41" t="str">
        <f>RIGHT(tbl_SeqLib[[#This Row],[Well]],LEN(tbl_SeqLib[[#This Row],[Well]])-1)</f>
        <v>1</v>
      </c>
      <c r="C4" s="19" t="s">
        <v>43</v>
      </c>
      <c r="D4" s="19"/>
      <c r="E4" s="19"/>
      <c r="F4" s="19"/>
      <c r="G4" s="41"/>
      <c r="H4" s="20" t="s">
        <v>44</v>
      </c>
      <c r="I4" s="68">
        <f>IF(LEN(tbl_SeqLib[[#This Row],[PCR '[DNA'] (ng / µl)]])&gt;0,1,0)</f>
        <v>0</v>
      </c>
      <c r="J4" s="68">
        <f>IF(LEN(tbl_SeqLib[[#This Row],[Sample ID]])&gt;0,1,0)</f>
        <v>0</v>
      </c>
      <c r="K4" s="68">
        <f>IF(SUMIF(tbl_SeqLib[Column],tbl_SeqLib[[#This Row],[Column]],tbl_SeqLib[DNA conc present])&gt;0,1,0)</f>
        <v>0</v>
      </c>
      <c r="L4" s="68">
        <f>IF(SUM(tbl_SeqLib[[#This Row],[DNA conc present]:[Sample ID present]])&gt;0,1,0)</f>
        <v>0</v>
      </c>
      <c r="M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" s="69">
        <f>ROUNDDOWN(_xlfn.MAXIFS(tbl_SeqLib[Exact],tbl_SeqLib[Column],tbl_SeqLib[[#This Row],[Column]]),1)</f>
        <v>0</v>
      </c>
      <c r="O4" s="69" t="e">
        <f>AVERAGE(tbl_SeqLib[Exact])</f>
        <v>#DIV/0!</v>
      </c>
      <c r="P4" s="69">
        <f>MAX(tbl_SeqLib[Exact])</f>
        <v>0</v>
      </c>
      <c r="Q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" s="37"/>
      <c r="S4" s="61" t="str">
        <f>IF(tbl_SeqLib[[#This Row],[Calculate]],SUM(endrepair_maxvol-SUM(tbl_SeqLib[[#This Row],[PCR product (µl) to add (calculated)]:[PCR product (µl) added (if different from calculated)]])),"")</f>
        <v/>
      </c>
      <c r="T4" s="53" t="str">
        <f>IF(ISBLANK(#REF!),"",CONCATENATE(exp_id,"_",tbl_SeqLib[[#This Row],[Well]]))</f>
        <v>_B1</v>
      </c>
      <c r="V4" s="10"/>
    </row>
    <row r="5" spans="1:22" ht="15.75" customHeight="1" x14ac:dyDescent="0.3">
      <c r="A5" s="29">
        <v>3</v>
      </c>
      <c r="B5" s="41" t="str">
        <f>RIGHT(tbl_SeqLib[[#This Row],[Well]],LEN(tbl_SeqLib[[#This Row],[Well]])-1)</f>
        <v>1</v>
      </c>
      <c r="C5" s="19" t="s">
        <v>45</v>
      </c>
      <c r="D5" s="19"/>
      <c r="E5" s="19"/>
      <c r="F5" s="19"/>
      <c r="G5" s="41"/>
      <c r="H5" s="20" t="s">
        <v>46</v>
      </c>
      <c r="I5" s="68">
        <f>IF(LEN(tbl_SeqLib[[#This Row],[PCR '[DNA'] (ng / µl)]])&gt;0,1,0)</f>
        <v>0</v>
      </c>
      <c r="J5" s="68">
        <f>IF(LEN(tbl_SeqLib[[#This Row],[Sample ID]])&gt;0,1,0)</f>
        <v>0</v>
      </c>
      <c r="K5" s="68">
        <f>IF(SUMIF(tbl_SeqLib[Column],tbl_SeqLib[[#This Row],[Column]],tbl_SeqLib[DNA conc present])&gt;0,1,0)</f>
        <v>0</v>
      </c>
      <c r="L5" s="68">
        <f>IF(SUM(tbl_SeqLib[[#This Row],[DNA conc present]:[Sample ID present]])&gt;0,1,0)</f>
        <v>0</v>
      </c>
      <c r="M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" s="69">
        <f>ROUNDDOWN(_xlfn.MAXIFS(tbl_SeqLib[Exact],tbl_SeqLib[Column],tbl_SeqLib[[#This Row],[Column]]),1)</f>
        <v>0</v>
      </c>
      <c r="O5" s="69" t="e">
        <f>AVERAGE(tbl_SeqLib[Exact])</f>
        <v>#DIV/0!</v>
      </c>
      <c r="P5" s="69">
        <f>MAX(tbl_SeqLib[Exact])</f>
        <v>0</v>
      </c>
      <c r="Q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" s="37"/>
      <c r="S5" s="61" t="str">
        <f>IF(tbl_SeqLib[[#This Row],[Calculate]],SUM(endrepair_maxvol-SUM(tbl_SeqLib[[#This Row],[PCR product (µl) to add (calculated)]:[PCR product (µl) added (if different from calculated)]])),"")</f>
        <v/>
      </c>
      <c r="T5" s="53" t="str">
        <f>IF(ISBLANK(#REF!),"",CONCATENATE(exp_id,"_",tbl_SeqLib[[#This Row],[Well]]))</f>
        <v>_C1</v>
      </c>
      <c r="V5" s="10"/>
    </row>
    <row r="6" spans="1:22" ht="15.75" customHeight="1" x14ac:dyDescent="0.3">
      <c r="A6" s="29">
        <v>4</v>
      </c>
      <c r="B6" s="41" t="str">
        <f>RIGHT(tbl_SeqLib[[#This Row],[Well]],LEN(tbl_SeqLib[[#This Row],[Well]])-1)</f>
        <v>1</v>
      </c>
      <c r="C6" s="19" t="s">
        <v>47</v>
      </c>
      <c r="D6" s="19"/>
      <c r="E6" s="19"/>
      <c r="F6" s="19"/>
      <c r="G6" s="41"/>
      <c r="H6" s="20" t="s">
        <v>48</v>
      </c>
      <c r="I6" s="68">
        <f>IF(LEN(tbl_SeqLib[[#This Row],[PCR '[DNA'] (ng / µl)]])&gt;0,1,0)</f>
        <v>0</v>
      </c>
      <c r="J6" s="68">
        <f>IF(LEN(tbl_SeqLib[[#This Row],[Sample ID]])&gt;0,1,0)</f>
        <v>0</v>
      </c>
      <c r="K6" s="68">
        <f>IF(SUMIF(tbl_SeqLib[Column],tbl_SeqLib[[#This Row],[Column]],tbl_SeqLib[DNA conc present])&gt;0,1,0)</f>
        <v>0</v>
      </c>
      <c r="L6" s="68">
        <f>IF(SUM(tbl_SeqLib[[#This Row],[DNA conc present]:[Sample ID present]])&gt;0,1,0)</f>
        <v>0</v>
      </c>
      <c r="M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" s="69">
        <f>ROUNDDOWN(_xlfn.MAXIFS(tbl_SeqLib[Exact],tbl_SeqLib[Column],tbl_SeqLib[[#This Row],[Column]]),1)</f>
        <v>0</v>
      </c>
      <c r="O6" s="69" t="e">
        <f>AVERAGE(tbl_SeqLib[Exact])</f>
        <v>#DIV/0!</v>
      </c>
      <c r="P6" s="69">
        <f>MAX(tbl_SeqLib[Exact])</f>
        <v>0</v>
      </c>
      <c r="Q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" s="37"/>
      <c r="S6" s="61" t="str">
        <f>IF(tbl_SeqLib[[#This Row],[Calculate]],SUM(endrepair_maxvol-SUM(tbl_SeqLib[[#This Row],[PCR product (µl) to add (calculated)]:[PCR product (µl) added (if different from calculated)]])),"")</f>
        <v/>
      </c>
      <c r="T6" s="53" t="str">
        <f>IF(ISBLANK(#REF!),"",CONCATENATE(exp_id,"_",tbl_SeqLib[[#This Row],[Well]]))</f>
        <v>_D1</v>
      </c>
    </row>
    <row r="7" spans="1:22" ht="15.75" customHeight="1" x14ac:dyDescent="0.3">
      <c r="A7" s="29">
        <v>5</v>
      </c>
      <c r="B7" s="41" t="str">
        <f>RIGHT(tbl_SeqLib[[#This Row],[Well]],LEN(tbl_SeqLib[[#This Row],[Well]])-1)</f>
        <v>1</v>
      </c>
      <c r="C7" s="19" t="s">
        <v>49</v>
      </c>
      <c r="D7" s="19"/>
      <c r="E7" s="19"/>
      <c r="F7" s="19"/>
      <c r="G7" s="41"/>
      <c r="H7" s="20" t="s">
        <v>50</v>
      </c>
      <c r="I7" s="68">
        <f>IF(LEN(tbl_SeqLib[[#This Row],[PCR '[DNA'] (ng / µl)]])&gt;0,1,0)</f>
        <v>0</v>
      </c>
      <c r="J7" s="68">
        <f>IF(LEN(tbl_SeqLib[[#This Row],[Sample ID]])&gt;0,1,0)</f>
        <v>0</v>
      </c>
      <c r="K7" s="68">
        <f>IF(SUMIF(tbl_SeqLib[Column],tbl_SeqLib[[#This Row],[Column]],tbl_SeqLib[DNA conc present])&gt;0,1,0)</f>
        <v>0</v>
      </c>
      <c r="L7" s="68">
        <f>IF(SUM(tbl_SeqLib[[#This Row],[DNA conc present]:[Sample ID present]])&gt;0,1,0)</f>
        <v>0</v>
      </c>
      <c r="M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" s="69">
        <f>ROUNDDOWN(_xlfn.MAXIFS(tbl_SeqLib[Exact],tbl_SeqLib[Column],tbl_SeqLib[[#This Row],[Column]]),1)</f>
        <v>0</v>
      </c>
      <c r="O7" s="69" t="e">
        <f>AVERAGE(tbl_SeqLib[Exact])</f>
        <v>#DIV/0!</v>
      </c>
      <c r="P7" s="69">
        <f>MAX(tbl_SeqLib[Exact])</f>
        <v>0</v>
      </c>
      <c r="Q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" s="37"/>
      <c r="S7" s="61" t="str">
        <f>IF(tbl_SeqLib[[#This Row],[Calculate]],SUM(endrepair_maxvol-SUM(tbl_SeqLib[[#This Row],[PCR product (µl) to add (calculated)]:[PCR product (µl) added (if different from calculated)]])),"")</f>
        <v/>
      </c>
      <c r="T7" s="53" t="str">
        <f>IF(ISBLANK(#REF!),"",CONCATENATE(exp_id,"_",tbl_SeqLib[[#This Row],[Well]]))</f>
        <v>_E1</v>
      </c>
    </row>
    <row r="8" spans="1:22" ht="15.75" customHeight="1" x14ac:dyDescent="0.3">
      <c r="A8" s="29">
        <v>6</v>
      </c>
      <c r="B8" s="41" t="str">
        <f>RIGHT(tbl_SeqLib[[#This Row],[Well]],LEN(tbl_SeqLib[[#This Row],[Well]])-1)</f>
        <v>1</v>
      </c>
      <c r="C8" s="19" t="s">
        <v>51</v>
      </c>
      <c r="D8" s="19"/>
      <c r="E8" s="19"/>
      <c r="F8" s="19"/>
      <c r="G8" s="41"/>
      <c r="H8" s="20" t="s">
        <v>52</v>
      </c>
      <c r="I8" s="68">
        <f>IF(LEN(tbl_SeqLib[[#This Row],[PCR '[DNA'] (ng / µl)]])&gt;0,1,0)</f>
        <v>0</v>
      </c>
      <c r="J8" s="68">
        <f>IF(LEN(tbl_SeqLib[[#This Row],[Sample ID]])&gt;0,1,0)</f>
        <v>0</v>
      </c>
      <c r="K8" s="68">
        <f>IF(SUMIF(tbl_SeqLib[Column],tbl_SeqLib[[#This Row],[Column]],tbl_SeqLib[DNA conc present])&gt;0,1,0)</f>
        <v>0</v>
      </c>
      <c r="L8" s="68">
        <f>IF(SUM(tbl_SeqLib[[#This Row],[DNA conc present]:[Sample ID present]])&gt;0,1,0)</f>
        <v>0</v>
      </c>
      <c r="M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" s="69">
        <f>ROUNDDOWN(_xlfn.MAXIFS(tbl_SeqLib[Exact],tbl_SeqLib[Column],tbl_SeqLib[[#This Row],[Column]]),1)</f>
        <v>0</v>
      </c>
      <c r="O8" s="69" t="e">
        <f>AVERAGE(tbl_SeqLib[Exact])</f>
        <v>#DIV/0!</v>
      </c>
      <c r="P8" s="69">
        <f>MAX(tbl_SeqLib[Exact])</f>
        <v>0</v>
      </c>
      <c r="Q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" s="37"/>
      <c r="S8" s="61" t="str">
        <f>IF(tbl_SeqLib[[#This Row],[Calculate]],SUM(endrepair_maxvol-SUM(tbl_SeqLib[[#This Row],[PCR product (µl) to add (calculated)]:[PCR product (µl) added (if different from calculated)]])),"")</f>
        <v/>
      </c>
      <c r="T8" s="53" t="str">
        <f>IF(ISBLANK(#REF!),"",CONCATENATE(exp_id,"_",tbl_SeqLib[[#This Row],[Well]]))</f>
        <v>_F1</v>
      </c>
    </row>
    <row r="9" spans="1:22" ht="15.75" customHeight="1" x14ac:dyDescent="0.3">
      <c r="A9" s="29">
        <v>7</v>
      </c>
      <c r="B9" s="41" t="str">
        <f>RIGHT(tbl_SeqLib[[#This Row],[Well]],LEN(tbl_SeqLib[[#This Row],[Well]])-1)</f>
        <v>1</v>
      </c>
      <c r="C9" s="19" t="s">
        <v>53</v>
      </c>
      <c r="D9" s="19"/>
      <c r="E9" s="19"/>
      <c r="F9" s="19"/>
      <c r="G9" s="41"/>
      <c r="H9" s="20" t="s">
        <v>54</v>
      </c>
      <c r="I9" s="68">
        <f>IF(LEN(tbl_SeqLib[[#This Row],[PCR '[DNA'] (ng / µl)]])&gt;0,1,0)</f>
        <v>0</v>
      </c>
      <c r="J9" s="68">
        <f>IF(LEN(tbl_SeqLib[[#This Row],[Sample ID]])&gt;0,1,0)</f>
        <v>0</v>
      </c>
      <c r="K9" s="68">
        <f>IF(SUMIF(tbl_SeqLib[Column],tbl_SeqLib[[#This Row],[Column]],tbl_SeqLib[DNA conc present])&gt;0,1,0)</f>
        <v>0</v>
      </c>
      <c r="L9" s="68">
        <f>IF(SUM(tbl_SeqLib[[#This Row],[DNA conc present]:[Sample ID present]])&gt;0,1,0)</f>
        <v>0</v>
      </c>
      <c r="M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" s="69">
        <f>ROUNDDOWN(_xlfn.MAXIFS(tbl_SeqLib[Exact],tbl_SeqLib[Column],tbl_SeqLib[[#This Row],[Column]]),1)</f>
        <v>0</v>
      </c>
      <c r="O9" s="69" t="e">
        <f>AVERAGE(tbl_SeqLib[Exact])</f>
        <v>#DIV/0!</v>
      </c>
      <c r="P9" s="69">
        <f>MAX(tbl_SeqLib[Exact])</f>
        <v>0</v>
      </c>
      <c r="Q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" s="37"/>
      <c r="S9" s="61" t="str">
        <f>IF(tbl_SeqLib[[#This Row],[Calculate]],SUM(endrepair_maxvol-SUM(tbl_SeqLib[[#This Row],[PCR product (µl) to add (calculated)]:[PCR product (µl) added (if different from calculated)]])),"")</f>
        <v/>
      </c>
      <c r="T9" s="53" t="str">
        <f>IF(ISBLANK(#REF!),"",CONCATENATE(exp_id,"_",tbl_SeqLib[[#This Row],[Well]]))</f>
        <v>_G1</v>
      </c>
    </row>
    <row r="10" spans="1:22" ht="15.75" customHeight="1" thickBot="1" x14ac:dyDescent="0.35">
      <c r="A10" s="30">
        <v>8</v>
      </c>
      <c r="B10" s="42" t="str">
        <f>RIGHT(tbl_SeqLib[[#This Row],[Well]],LEN(tbl_SeqLib[[#This Row],[Well]])-1)</f>
        <v>1</v>
      </c>
      <c r="C10" s="31" t="s">
        <v>55</v>
      </c>
      <c r="D10" s="31"/>
      <c r="E10" s="32"/>
      <c r="F10" s="31"/>
      <c r="G10" s="42"/>
      <c r="H10" s="32" t="s">
        <v>56</v>
      </c>
      <c r="I10" s="70">
        <f>IF(LEN(tbl_SeqLib[[#This Row],[PCR '[DNA'] (ng / µl)]])&gt;0,1,0)</f>
        <v>0</v>
      </c>
      <c r="J10" s="70">
        <f>IF(LEN(tbl_SeqLib[[#This Row],[Sample ID]])&gt;0,1,0)</f>
        <v>0</v>
      </c>
      <c r="K10" s="70">
        <f>IF(SUMIF(tbl_SeqLib[Column],tbl_SeqLib[[#This Row],[Column]],tbl_SeqLib[DNA conc present])&gt;0,1,0)</f>
        <v>0</v>
      </c>
      <c r="L10" s="70">
        <f>IF(SUM(tbl_SeqLib[[#This Row],[DNA conc present]:[Sample ID present]])&gt;0,1,0)</f>
        <v>0</v>
      </c>
      <c r="M10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0" s="71">
        <f>ROUNDDOWN(_xlfn.MAXIFS(tbl_SeqLib[Exact],tbl_SeqLib[Column],tbl_SeqLib[[#This Row],[Column]]),1)</f>
        <v>0</v>
      </c>
      <c r="O10" s="71" t="e">
        <f>AVERAGE(tbl_SeqLib[Exact])</f>
        <v>#DIV/0!</v>
      </c>
      <c r="P10" s="71">
        <f>MAX(tbl_SeqLib[Exact])</f>
        <v>0</v>
      </c>
      <c r="Q10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0" s="38"/>
      <c r="S10" s="62" t="str">
        <f>IF(tbl_SeqLib[[#This Row],[Calculate]],SUM(endrepair_maxvol-SUM(tbl_SeqLib[[#This Row],[PCR product (µl) to add (calculated)]:[PCR product (µl) added (if different from calculated)]])),"")</f>
        <v/>
      </c>
      <c r="T10" s="54" t="str">
        <f>IF(ISBLANK(#REF!),"",CONCATENATE(exp_id,"_",tbl_SeqLib[[#This Row],[Well]]))</f>
        <v>_H1</v>
      </c>
    </row>
    <row r="11" spans="1:22" ht="15.75" customHeight="1" x14ac:dyDescent="0.3">
      <c r="A11" s="26">
        <v>9</v>
      </c>
      <c r="B11" s="40" t="str">
        <f>RIGHT(tbl_SeqLib[[#This Row],[Well]],LEN(tbl_SeqLib[[#This Row],[Well]])-1)</f>
        <v>2</v>
      </c>
      <c r="C11" s="27" t="s">
        <v>57</v>
      </c>
      <c r="D11" s="27"/>
      <c r="E11" s="28"/>
      <c r="F11" s="27"/>
      <c r="G11" s="40"/>
      <c r="H11" s="28" t="s">
        <v>58</v>
      </c>
      <c r="I11" s="66">
        <f>IF(LEN(tbl_SeqLib[[#This Row],[PCR '[DNA'] (ng / µl)]])&gt;0,1,0)</f>
        <v>0</v>
      </c>
      <c r="J11" s="66">
        <f>IF(LEN(tbl_SeqLib[[#This Row],[Sample ID]])&gt;0,1,0)</f>
        <v>0</v>
      </c>
      <c r="K11" s="66">
        <f>IF(SUMIF(tbl_SeqLib[Column],tbl_SeqLib[[#This Row],[Column]],tbl_SeqLib[DNA conc present])&gt;0,1,0)</f>
        <v>0</v>
      </c>
      <c r="L11" s="66">
        <f>IF(SUM(tbl_SeqLib[[#This Row],[DNA conc present]:[Sample ID present]])&gt;0,1,0)</f>
        <v>0</v>
      </c>
      <c r="M11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1" s="67">
        <f>ROUNDDOWN(_xlfn.MAXIFS(tbl_SeqLib[Exact],tbl_SeqLib[Column],tbl_SeqLib[[#This Row],[Column]]),1)</f>
        <v>0</v>
      </c>
      <c r="O11" s="67" t="e">
        <f>AVERAGE(tbl_SeqLib[Exact])</f>
        <v>#DIV/0!</v>
      </c>
      <c r="P11" s="67">
        <f>MAX(tbl_SeqLib[Exact])</f>
        <v>0</v>
      </c>
      <c r="Q11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1" s="36"/>
      <c r="S11" s="60" t="str">
        <f>IF(tbl_SeqLib[[#This Row],[Calculate]],SUM(endrepair_maxvol-SUM(tbl_SeqLib[[#This Row],[PCR product (µl) to add (calculated)]:[PCR product (µl) added (if different from calculated)]])),"")</f>
        <v/>
      </c>
      <c r="T11" s="63" t="str">
        <f>IF(ISBLANK(#REF!),"",CONCATENATE(exp_id,"_",tbl_SeqLib[[#This Row],[Well]]))</f>
        <v>_A2</v>
      </c>
    </row>
    <row r="12" spans="1:22" ht="15.75" customHeight="1" x14ac:dyDescent="0.3">
      <c r="A12" s="29">
        <v>10</v>
      </c>
      <c r="B12" s="41" t="str">
        <f>RIGHT(tbl_SeqLib[[#This Row],[Well]],LEN(tbl_SeqLib[[#This Row],[Well]])-1)</f>
        <v>2</v>
      </c>
      <c r="C12" s="19" t="s">
        <v>59</v>
      </c>
      <c r="D12" s="19"/>
      <c r="E12" s="20"/>
      <c r="F12" s="19"/>
      <c r="G12" s="41"/>
      <c r="H12" s="20" t="s">
        <v>60</v>
      </c>
      <c r="I12" s="68">
        <f>IF(LEN(tbl_SeqLib[[#This Row],[PCR '[DNA'] (ng / µl)]])&gt;0,1,0)</f>
        <v>0</v>
      </c>
      <c r="J12" s="68">
        <f>IF(LEN(tbl_SeqLib[[#This Row],[Sample ID]])&gt;0,1,0)</f>
        <v>0</v>
      </c>
      <c r="K12" s="68">
        <f>IF(SUMIF(tbl_SeqLib[Column],tbl_SeqLib[[#This Row],[Column]],tbl_SeqLib[DNA conc present])&gt;0,1,0)</f>
        <v>0</v>
      </c>
      <c r="L12" s="68">
        <f>IF(SUM(tbl_SeqLib[[#This Row],[DNA conc present]:[Sample ID present]])&gt;0,1,0)</f>
        <v>0</v>
      </c>
      <c r="M1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2" s="69">
        <f>ROUNDDOWN(_xlfn.MAXIFS(tbl_SeqLib[Exact],tbl_SeqLib[Column],tbl_SeqLib[[#This Row],[Column]]),1)</f>
        <v>0</v>
      </c>
      <c r="O12" s="69" t="e">
        <f>AVERAGE(tbl_SeqLib[Exact])</f>
        <v>#DIV/0!</v>
      </c>
      <c r="P12" s="69">
        <f>MAX(tbl_SeqLib[Exact])</f>
        <v>0</v>
      </c>
      <c r="Q1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2" s="37"/>
      <c r="S12" s="61" t="str">
        <f>IF(tbl_SeqLib[[#This Row],[Calculate]],SUM(endrepair_maxvol-SUM(tbl_SeqLib[[#This Row],[PCR product (µl) to add (calculated)]:[PCR product (µl) added (if different from calculated)]])),"")</f>
        <v/>
      </c>
      <c r="T12" s="63" t="str">
        <f>IF(ISBLANK(#REF!),"",CONCATENATE(exp_id,"_",tbl_SeqLib[[#This Row],[Well]]))</f>
        <v>_B2</v>
      </c>
    </row>
    <row r="13" spans="1:22" ht="15.75" customHeight="1" x14ac:dyDescent="0.3">
      <c r="A13" s="29">
        <v>11</v>
      </c>
      <c r="B13" s="41" t="str">
        <f>RIGHT(tbl_SeqLib[[#This Row],[Well]],LEN(tbl_SeqLib[[#This Row],[Well]])-1)</f>
        <v>2</v>
      </c>
      <c r="C13" s="19" t="s">
        <v>61</v>
      </c>
      <c r="D13" s="19"/>
      <c r="E13" s="20"/>
      <c r="F13" s="19"/>
      <c r="G13" s="41"/>
      <c r="H13" s="20" t="s">
        <v>62</v>
      </c>
      <c r="I13" s="68">
        <f>IF(LEN(tbl_SeqLib[[#This Row],[PCR '[DNA'] (ng / µl)]])&gt;0,1,0)</f>
        <v>0</v>
      </c>
      <c r="J13" s="68">
        <f>IF(LEN(tbl_SeqLib[[#This Row],[Sample ID]])&gt;0,1,0)</f>
        <v>0</v>
      </c>
      <c r="K13" s="68">
        <f>IF(SUMIF(tbl_SeqLib[Column],tbl_SeqLib[[#This Row],[Column]],tbl_SeqLib[DNA conc present])&gt;0,1,0)</f>
        <v>0</v>
      </c>
      <c r="L13" s="68">
        <f>IF(SUM(tbl_SeqLib[[#This Row],[DNA conc present]:[Sample ID present]])&gt;0,1,0)</f>
        <v>0</v>
      </c>
      <c r="M1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3" s="69">
        <f>ROUNDDOWN(_xlfn.MAXIFS(tbl_SeqLib[Exact],tbl_SeqLib[Column],tbl_SeqLib[[#This Row],[Column]]),1)</f>
        <v>0</v>
      </c>
      <c r="O13" s="69" t="e">
        <f>AVERAGE(tbl_SeqLib[Exact])</f>
        <v>#DIV/0!</v>
      </c>
      <c r="P13" s="69">
        <f>MAX(tbl_SeqLib[Exact])</f>
        <v>0</v>
      </c>
      <c r="Q1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3" s="37"/>
      <c r="S13" s="61" t="str">
        <f>IF(tbl_SeqLib[[#This Row],[Calculate]],SUM(endrepair_maxvol-SUM(tbl_SeqLib[[#This Row],[PCR product (µl) to add (calculated)]:[PCR product (µl) added (if different from calculated)]])),"")</f>
        <v/>
      </c>
      <c r="T13" s="63" t="str">
        <f>IF(ISBLANK(#REF!),"",CONCATENATE(exp_id,"_",tbl_SeqLib[[#This Row],[Well]]))</f>
        <v>_C2</v>
      </c>
    </row>
    <row r="14" spans="1:22" ht="15.75" customHeight="1" x14ac:dyDescent="0.3">
      <c r="A14" s="29">
        <v>12</v>
      </c>
      <c r="B14" s="41" t="str">
        <f>RIGHT(tbl_SeqLib[[#This Row],[Well]],LEN(tbl_SeqLib[[#This Row],[Well]])-1)</f>
        <v>2</v>
      </c>
      <c r="C14" s="19" t="s">
        <v>63</v>
      </c>
      <c r="D14" s="19"/>
      <c r="E14" s="20"/>
      <c r="F14" s="19"/>
      <c r="G14" s="41"/>
      <c r="H14" s="20" t="s">
        <v>64</v>
      </c>
      <c r="I14" s="68">
        <f>IF(LEN(tbl_SeqLib[[#This Row],[PCR '[DNA'] (ng / µl)]])&gt;0,1,0)</f>
        <v>0</v>
      </c>
      <c r="J14" s="68">
        <f>IF(LEN(tbl_SeqLib[[#This Row],[Sample ID]])&gt;0,1,0)</f>
        <v>0</v>
      </c>
      <c r="K14" s="68">
        <f>IF(SUMIF(tbl_SeqLib[Column],tbl_SeqLib[[#This Row],[Column]],tbl_SeqLib[DNA conc present])&gt;0,1,0)</f>
        <v>0</v>
      </c>
      <c r="L14" s="68">
        <f>IF(SUM(tbl_SeqLib[[#This Row],[DNA conc present]:[Sample ID present]])&gt;0,1,0)</f>
        <v>0</v>
      </c>
      <c r="M1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4" s="69">
        <f>ROUNDDOWN(_xlfn.MAXIFS(tbl_SeqLib[Exact],tbl_SeqLib[Column],tbl_SeqLib[[#This Row],[Column]]),1)</f>
        <v>0</v>
      </c>
      <c r="O14" s="69" t="e">
        <f>AVERAGE(tbl_SeqLib[Exact])</f>
        <v>#DIV/0!</v>
      </c>
      <c r="P14" s="69">
        <f>MAX(tbl_SeqLib[Exact])</f>
        <v>0</v>
      </c>
      <c r="Q1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4" s="37"/>
      <c r="S14" s="61" t="str">
        <f>IF(tbl_SeqLib[[#This Row],[Calculate]],SUM(endrepair_maxvol-SUM(tbl_SeqLib[[#This Row],[PCR product (µl) to add (calculated)]:[PCR product (µl) added (if different from calculated)]])),"")</f>
        <v/>
      </c>
      <c r="T14" s="63" t="str">
        <f>IF(ISBLANK(#REF!),"",CONCATENATE(exp_id,"_",tbl_SeqLib[[#This Row],[Well]]))</f>
        <v>_D2</v>
      </c>
    </row>
    <row r="15" spans="1:22" ht="15.75" customHeight="1" x14ac:dyDescent="0.3">
      <c r="A15" s="29">
        <v>13</v>
      </c>
      <c r="B15" s="41" t="str">
        <f>RIGHT(tbl_SeqLib[[#This Row],[Well]],LEN(tbl_SeqLib[[#This Row],[Well]])-1)</f>
        <v>2</v>
      </c>
      <c r="C15" s="19" t="s">
        <v>65</v>
      </c>
      <c r="D15" s="19"/>
      <c r="E15" s="20"/>
      <c r="F15" s="19"/>
      <c r="G15" s="41"/>
      <c r="H15" s="20" t="s">
        <v>66</v>
      </c>
      <c r="I15" s="68">
        <f>IF(LEN(tbl_SeqLib[[#This Row],[PCR '[DNA'] (ng / µl)]])&gt;0,1,0)</f>
        <v>0</v>
      </c>
      <c r="J15" s="68">
        <f>IF(LEN(tbl_SeqLib[[#This Row],[Sample ID]])&gt;0,1,0)</f>
        <v>0</v>
      </c>
      <c r="K15" s="68">
        <f>IF(SUMIF(tbl_SeqLib[Column],tbl_SeqLib[[#This Row],[Column]],tbl_SeqLib[DNA conc present])&gt;0,1,0)</f>
        <v>0</v>
      </c>
      <c r="L15" s="68">
        <f>IF(SUM(tbl_SeqLib[[#This Row],[DNA conc present]:[Sample ID present]])&gt;0,1,0)</f>
        <v>0</v>
      </c>
      <c r="M1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5" s="69">
        <f>ROUNDDOWN(_xlfn.MAXIFS(tbl_SeqLib[Exact],tbl_SeqLib[Column],tbl_SeqLib[[#This Row],[Column]]),1)</f>
        <v>0</v>
      </c>
      <c r="O15" s="69" t="e">
        <f>AVERAGE(tbl_SeqLib[Exact])</f>
        <v>#DIV/0!</v>
      </c>
      <c r="P15" s="69">
        <f>MAX(tbl_SeqLib[Exact])</f>
        <v>0</v>
      </c>
      <c r="Q1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5" s="37"/>
      <c r="S15" s="61" t="str">
        <f>IF(tbl_SeqLib[[#This Row],[Calculate]],SUM(endrepair_maxvol-SUM(tbl_SeqLib[[#This Row],[PCR product (µl) to add (calculated)]:[PCR product (µl) added (if different from calculated)]])),"")</f>
        <v/>
      </c>
      <c r="T15" s="63" t="str">
        <f>IF(ISBLANK(#REF!),"",CONCATENATE(exp_id,"_",tbl_SeqLib[[#This Row],[Well]]))</f>
        <v>_E2</v>
      </c>
    </row>
    <row r="16" spans="1:22" ht="15.75" customHeight="1" x14ac:dyDescent="0.3">
      <c r="A16" s="29">
        <v>14</v>
      </c>
      <c r="B16" s="41" t="str">
        <f>RIGHT(tbl_SeqLib[[#This Row],[Well]],LEN(tbl_SeqLib[[#This Row],[Well]])-1)</f>
        <v>2</v>
      </c>
      <c r="C16" s="19" t="s">
        <v>67</v>
      </c>
      <c r="D16" s="19"/>
      <c r="E16" s="20"/>
      <c r="F16" s="19"/>
      <c r="G16" s="41"/>
      <c r="H16" s="20" t="s">
        <v>68</v>
      </c>
      <c r="I16" s="68">
        <f>IF(LEN(tbl_SeqLib[[#This Row],[PCR '[DNA'] (ng / µl)]])&gt;0,1,0)</f>
        <v>0</v>
      </c>
      <c r="J16" s="68">
        <f>IF(LEN(tbl_SeqLib[[#This Row],[Sample ID]])&gt;0,1,0)</f>
        <v>0</v>
      </c>
      <c r="K16" s="68">
        <f>IF(SUMIF(tbl_SeqLib[Column],tbl_SeqLib[[#This Row],[Column]],tbl_SeqLib[DNA conc present])&gt;0,1,0)</f>
        <v>0</v>
      </c>
      <c r="L16" s="68">
        <f>IF(SUM(tbl_SeqLib[[#This Row],[DNA conc present]:[Sample ID present]])&gt;0,1,0)</f>
        <v>0</v>
      </c>
      <c r="M1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6" s="69">
        <f>ROUNDDOWN(_xlfn.MAXIFS(tbl_SeqLib[Exact],tbl_SeqLib[Column],tbl_SeqLib[[#This Row],[Column]]),1)</f>
        <v>0</v>
      </c>
      <c r="O16" s="69" t="e">
        <f>AVERAGE(tbl_SeqLib[Exact])</f>
        <v>#DIV/0!</v>
      </c>
      <c r="P16" s="69">
        <f>MAX(tbl_SeqLib[Exact])</f>
        <v>0</v>
      </c>
      <c r="Q1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6" s="37"/>
      <c r="S16" s="61" t="str">
        <f>IF(tbl_SeqLib[[#This Row],[Calculate]],SUM(endrepair_maxvol-SUM(tbl_SeqLib[[#This Row],[PCR product (µl) to add (calculated)]:[PCR product (µl) added (if different from calculated)]])),"")</f>
        <v/>
      </c>
      <c r="T16" s="63" t="str">
        <f>IF(ISBLANK(#REF!),"",CONCATENATE(exp_id,"_",tbl_SeqLib[[#This Row],[Well]]))</f>
        <v>_F2</v>
      </c>
    </row>
    <row r="17" spans="1:20" ht="15.75" customHeight="1" x14ac:dyDescent="0.3">
      <c r="A17" s="29">
        <v>15</v>
      </c>
      <c r="B17" s="41" t="str">
        <f>RIGHT(tbl_SeqLib[[#This Row],[Well]],LEN(tbl_SeqLib[[#This Row],[Well]])-1)</f>
        <v>2</v>
      </c>
      <c r="C17" s="19" t="s">
        <v>69</v>
      </c>
      <c r="D17" s="19"/>
      <c r="E17" s="20"/>
      <c r="F17" s="19"/>
      <c r="G17" s="41"/>
      <c r="H17" s="20" t="s">
        <v>70</v>
      </c>
      <c r="I17" s="68">
        <f>IF(LEN(tbl_SeqLib[[#This Row],[PCR '[DNA'] (ng / µl)]])&gt;0,1,0)</f>
        <v>0</v>
      </c>
      <c r="J17" s="68">
        <f>IF(LEN(tbl_SeqLib[[#This Row],[Sample ID]])&gt;0,1,0)</f>
        <v>0</v>
      </c>
      <c r="K17" s="68">
        <f>IF(SUMIF(tbl_SeqLib[Column],tbl_SeqLib[[#This Row],[Column]],tbl_SeqLib[DNA conc present])&gt;0,1,0)</f>
        <v>0</v>
      </c>
      <c r="L17" s="68">
        <f>IF(SUM(tbl_SeqLib[[#This Row],[DNA conc present]:[Sample ID present]])&gt;0,1,0)</f>
        <v>0</v>
      </c>
      <c r="M1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7" s="69">
        <f>ROUNDDOWN(_xlfn.MAXIFS(tbl_SeqLib[Exact],tbl_SeqLib[Column],tbl_SeqLib[[#This Row],[Column]]),1)</f>
        <v>0</v>
      </c>
      <c r="O17" s="69" t="e">
        <f>AVERAGE(tbl_SeqLib[Exact])</f>
        <v>#DIV/0!</v>
      </c>
      <c r="P17" s="69">
        <f>MAX(tbl_SeqLib[Exact])</f>
        <v>0</v>
      </c>
      <c r="Q1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7" s="37"/>
      <c r="S17" s="61" t="str">
        <f>IF(tbl_SeqLib[[#This Row],[Calculate]],SUM(endrepair_maxvol-SUM(tbl_SeqLib[[#This Row],[PCR product (µl) to add (calculated)]:[PCR product (µl) added (if different from calculated)]])),"")</f>
        <v/>
      </c>
      <c r="T17" s="63" t="str">
        <f>IF(ISBLANK(#REF!),"",CONCATENATE(exp_id,"_",tbl_SeqLib[[#This Row],[Well]]))</f>
        <v>_G2</v>
      </c>
    </row>
    <row r="18" spans="1:20" ht="15.75" customHeight="1" thickBot="1" x14ac:dyDescent="0.35">
      <c r="A18" s="78">
        <v>16</v>
      </c>
      <c r="B18" s="73" t="str">
        <f>RIGHT(tbl_SeqLib[[#This Row],[Well]],LEN(tbl_SeqLib[[#This Row],[Well]])-1)</f>
        <v>2</v>
      </c>
      <c r="C18" s="72" t="s">
        <v>71</v>
      </c>
      <c r="D18" s="72"/>
      <c r="E18" s="74"/>
      <c r="F18" s="72"/>
      <c r="G18" s="73"/>
      <c r="H18" s="74" t="s">
        <v>72</v>
      </c>
      <c r="I18" s="75">
        <f>IF(LEN(tbl_SeqLib[[#This Row],[PCR '[DNA'] (ng / µl)]])&gt;0,1,0)</f>
        <v>0</v>
      </c>
      <c r="J18" s="75">
        <f>IF(LEN(tbl_SeqLib[[#This Row],[Sample ID]])&gt;0,1,0)</f>
        <v>0</v>
      </c>
      <c r="K18" s="75">
        <f>IF(SUMIF(tbl_SeqLib[Column],tbl_SeqLib[[#This Row],[Column]],tbl_SeqLib[DNA conc present])&gt;0,1,0)</f>
        <v>0</v>
      </c>
      <c r="L18" s="75">
        <f>IF(SUM(tbl_SeqLib[[#This Row],[DNA conc present]:[Sample ID present]])&gt;0,1,0)</f>
        <v>0</v>
      </c>
      <c r="M18" s="76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8" s="76">
        <f>ROUNDDOWN(_xlfn.MAXIFS(tbl_SeqLib[Exact],tbl_SeqLib[Column],tbl_SeqLib[[#This Row],[Column]]),1)</f>
        <v>0</v>
      </c>
      <c r="O18" s="76" t="e">
        <f>AVERAGE(tbl_SeqLib[Exact])</f>
        <v>#DIV/0!</v>
      </c>
      <c r="P18" s="76">
        <f>MAX(tbl_SeqLib[Exact])</f>
        <v>0</v>
      </c>
      <c r="Q18" s="76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8" s="77"/>
      <c r="S18" s="79" t="str">
        <f>IF(tbl_SeqLib[[#This Row],[Calculate]],SUM(endrepair_maxvol-SUM(tbl_SeqLib[[#This Row],[PCR product (µl) to add (calculated)]:[PCR product (µl) added (if different from calculated)]])),"")</f>
        <v/>
      </c>
      <c r="T18" s="80" t="str">
        <f>IF(ISBLANK(#REF!),"",CONCATENATE(exp_id,"_",tbl_SeqLib[[#This Row],[Well]]))</f>
        <v>_H2</v>
      </c>
    </row>
    <row r="19" spans="1:20" ht="15.75" customHeight="1" x14ac:dyDescent="0.3">
      <c r="A19" s="26">
        <v>17</v>
      </c>
      <c r="B19" s="40" t="str">
        <f>RIGHT(tbl_SeqLib[[#This Row],[Well]],LEN(tbl_SeqLib[[#This Row],[Well]])-1)</f>
        <v>3</v>
      </c>
      <c r="C19" s="27" t="s">
        <v>73</v>
      </c>
      <c r="D19" s="27"/>
      <c r="E19" s="28"/>
      <c r="F19" s="27"/>
      <c r="G19" s="40"/>
      <c r="H19" s="28" t="s">
        <v>74</v>
      </c>
      <c r="I19" s="66">
        <f>IF(LEN(tbl_SeqLib[[#This Row],[PCR '[DNA'] (ng / µl)]])&gt;0,1,0)</f>
        <v>0</v>
      </c>
      <c r="J19" s="66">
        <f>IF(LEN(tbl_SeqLib[[#This Row],[Sample ID]])&gt;0,1,0)</f>
        <v>0</v>
      </c>
      <c r="K19" s="66">
        <f>IF(SUMIF(tbl_SeqLib[Column],tbl_SeqLib[[#This Row],[Column]],tbl_SeqLib[DNA conc present])&gt;0,1,0)</f>
        <v>0</v>
      </c>
      <c r="L19" s="66">
        <f>IF(SUM(tbl_SeqLib[[#This Row],[DNA conc present]:[Sample ID present]])&gt;0,1,0)</f>
        <v>0</v>
      </c>
      <c r="M19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19" s="67">
        <f>ROUNDDOWN(_xlfn.MAXIFS(tbl_SeqLib[Exact],tbl_SeqLib[Column],tbl_SeqLib[[#This Row],[Column]]),1)</f>
        <v>0</v>
      </c>
      <c r="O19" s="67" t="e">
        <f>AVERAGE(tbl_SeqLib[Exact])</f>
        <v>#DIV/0!</v>
      </c>
      <c r="P19" s="67">
        <f>MAX(tbl_SeqLib[Exact])</f>
        <v>0</v>
      </c>
      <c r="Q19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19" s="36"/>
      <c r="S19" s="67" t="str">
        <f>IF(tbl_SeqLib[[#This Row],[Calculate]],SUM(endrepair_maxvol-SUM(tbl_SeqLib[[#This Row],[PCR product (µl) to add (calculated)]:[PCR product (µl) added (if different from calculated)]])),"")</f>
        <v/>
      </c>
      <c r="T19" s="52" t="str">
        <f>IF(ISBLANK(#REF!),"",CONCATENATE(exp_id,"_",tbl_SeqLib[[#This Row],[Well]]))</f>
        <v>_A3</v>
      </c>
    </row>
    <row r="20" spans="1:20" ht="15.75" customHeight="1" x14ac:dyDescent="0.3">
      <c r="A20" s="29">
        <v>18</v>
      </c>
      <c r="B20" s="41" t="str">
        <f>RIGHT(tbl_SeqLib[[#This Row],[Well]],LEN(tbl_SeqLib[[#This Row],[Well]])-1)</f>
        <v>3</v>
      </c>
      <c r="C20" s="19" t="s">
        <v>75</v>
      </c>
      <c r="D20" s="19"/>
      <c r="E20" s="20"/>
      <c r="F20" s="19"/>
      <c r="G20" s="41"/>
      <c r="H20" s="20" t="s">
        <v>76</v>
      </c>
      <c r="I20" s="68">
        <f>IF(LEN(tbl_SeqLib[[#This Row],[PCR '[DNA'] (ng / µl)]])&gt;0,1,0)</f>
        <v>0</v>
      </c>
      <c r="J20" s="68">
        <f>IF(LEN(tbl_SeqLib[[#This Row],[Sample ID]])&gt;0,1,0)</f>
        <v>0</v>
      </c>
      <c r="K20" s="68">
        <f>IF(SUMIF(tbl_SeqLib[Column],tbl_SeqLib[[#This Row],[Column]],tbl_SeqLib[DNA conc present])&gt;0,1,0)</f>
        <v>0</v>
      </c>
      <c r="L20" s="68">
        <f>IF(SUM(tbl_SeqLib[[#This Row],[DNA conc present]:[Sample ID present]])&gt;0,1,0)</f>
        <v>0</v>
      </c>
      <c r="M20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0" s="69">
        <f>ROUNDDOWN(_xlfn.MAXIFS(tbl_SeqLib[Exact],tbl_SeqLib[Column],tbl_SeqLib[[#This Row],[Column]]),1)</f>
        <v>0</v>
      </c>
      <c r="O20" s="69" t="e">
        <f>AVERAGE(tbl_SeqLib[Exact])</f>
        <v>#DIV/0!</v>
      </c>
      <c r="P20" s="69">
        <f>MAX(tbl_SeqLib[Exact])</f>
        <v>0</v>
      </c>
      <c r="Q20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0" s="37"/>
      <c r="S20" s="69" t="str">
        <f>IF(tbl_SeqLib[[#This Row],[Calculate]],SUM(endrepair_maxvol-SUM(tbl_SeqLib[[#This Row],[PCR product (µl) to add (calculated)]:[PCR product (µl) added (if different from calculated)]])),"")</f>
        <v/>
      </c>
      <c r="T20" s="63" t="str">
        <f>IF(ISBLANK(#REF!),"",CONCATENATE(exp_id,"_",tbl_SeqLib[[#This Row],[Well]]))</f>
        <v>_B3</v>
      </c>
    </row>
    <row r="21" spans="1:20" ht="15.75" customHeight="1" x14ac:dyDescent="0.3">
      <c r="A21" s="29">
        <v>19</v>
      </c>
      <c r="B21" s="41" t="str">
        <f>RIGHT(tbl_SeqLib[[#This Row],[Well]],LEN(tbl_SeqLib[[#This Row],[Well]])-1)</f>
        <v>3</v>
      </c>
      <c r="C21" s="19" t="s">
        <v>77</v>
      </c>
      <c r="D21" s="19"/>
      <c r="E21" s="20"/>
      <c r="F21" s="19"/>
      <c r="G21" s="41"/>
      <c r="H21" s="20" t="s">
        <v>78</v>
      </c>
      <c r="I21" s="68">
        <f>IF(LEN(tbl_SeqLib[[#This Row],[PCR '[DNA'] (ng / µl)]])&gt;0,1,0)</f>
        <v>0</v>
      </c>
      <c r="J21" s="68">
        <f>IF(LEN(tbl_SeqLib[[#This Row],[Sample ID]])&gt;0,1,0)</f>
        <v>0</v>
      </c>
      <c r="K21" s="68">
        <f>IF(SUMIF(tbl_SeqLib[Column],tbl_SeqLib[[#This Row],[Column]],tbl_SeqLib[DNA conc present])&gt;0,1,0)</f>
        <v>0</v>
      </c>
      <c r="L21" s="68">
        <f>IF(SUM(tbl_SeqLib[[#This Row],[DNA conc present]:[Sample ID present]])&gt;0,1,0)</f>
        <v>0</v>
      </c>
      <c r="M21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1" s="69">
        <f>ROUNDDOWN(_xlfn.MAXIFS(tbl_SeqLib[Exact],tbl_SeqLib[Column],tbl_SeqLib[[#This Row],[Column]]),1)</f>
        <v>0</v>
      </c>
      <c r="O21" s="69" t="e">
        <f>AVERAGE(tbl_SeqLib[Exact])</f>
        <v>#DIV/0!</v>
      </c>
      <c r="P21" s="69">
        <f>MAX(tbl_SeqLib[Exact])</f>
        <v>0</v>
      </c>
      <c r="Q21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1" s="37"/>
      <c r="S21" s="69" t="str">
        <f>IF(tbl_SeqLib[[#This Row],[Calculate]],SUM(endrepair_maxvol-SUM(tbl_SeqLib[[#This Row],[PCR product (µl) to add (calculated)]:[PCR product (µl) added (if different from calculated)]])),"")</f>
        <v/>
      </c>
      <c r="T21" s="63" t="str">
        <f>IF(ISBLANK(#REF!),"",CONCATENATE(exp_id,"_",tbl_SeqLib[[#This Row],[Well]]))</f>
        <v>_C3</v>
      </c>
    </row>
    <row r="22" spans="1:20" ht="15.75" customHeight="1" x14ac:dyDescent="0.3">
      <c r="A22" s="29">
        <v>20</v>
      </c>
      <c r="B22" s="41" t="str">
        <f>RIGHT(tbl_SeqLib[[#This Row],[Well]],LEN(tbl_SeqLib[[#This Row],[Well]])-1)</f>
        <v>3</v>
      </c>
      <c r="C22" s="19" t="s">
        <v>79</v>
      </c>
      <c r="D22" s="19"/>
      <c r="E22" s="20"/>
      <c r="F22" s="19"/>
      <c r="G22" s="41"/>
      <c r="H22" s="20" t="s">
        <v>80</v>
      </c>
      <c r="I22" s="68">
        <f>IF(LEN(tbl_SeqLib[[#This Row],[PCR '[DNA'] (ng / µl)]])&gt;0,1,0)</f>
        <v>0</v>
      </c>
      <c r="J22" s="68">
        <f>IF(LEN(tbl_SeqLib[[#This Row],[Sample ID]])&gt;0,1,0)</f>
        <v>0</v>
      </c>
      <c r="K22" s="68">
        <f>IF(SUMIF(tbl_SeqLib[Column],tbl_SeqLib[[#This Row],[Column]],tbl_SeqLib[DNA conc present])&gt;0,1,0)</f>
        <v>0</v>
      </c>
      <c r="L22" s="68">
        <f>IF(SUM(tbl_SeqLib[[#This Row],[DNA conc present]:[Sample ID present]])&gt;0,1,0)</f>
        <v>0</v>
      </c>
      <c r="M2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2" s="69">
        <f>ROUNDDOWN(_xlfn.MAXIFS(tbl_SeqLib[Exact],tbl_SeqLib[Column],tbl_SeqLib[[#This Row],[Column]]),1)</f>
        <v>0</v>
      </c>
      <c r="O22" s="69" t="e">
        <f>AVERAGE(tbl_SeqLib[Exact])</f>
        <v>#DIV/0!</v>
      </c>
      <c r="P22" s="69">
        <f>MAX(tbl_SeqLib[Exact])</f>
        <v>0</v>
      </c>
      <c r="Q2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2" s="37"/>
      <c r="S22" s="69" t="str">
        <f>IF(tbl_SeqLib[[#This Row],[Calculate]],SUM(endrepair_maxvol-SUM(tbl_SeqLib[[#This Row],[PCR product (µl) to add (calculated)]:[PCR product (µl) added (if different from calculated)]])),"")</f>
        <v/>
      </c>
      <c r="T22" s="63" t="str">
        <f>IF(ISBLANK(#REF!),"",CONCATENATE(exp_id,"_",tbl_SeqLib[[#This Row],[Well]]))</f>
        <v>_D3</v>
      </c>
    </row>
    <row r="23" spans="1:20" ht="15.75" customHeight="1" x14ac:dyDescent="0.3">
      <c r="A23" s="29">
        <v>21</v>
      </c>
      <c r="B23" s="41" t="str">
        <f>RIGHT(tbl_SeqLib[[#This Row],[Well]],LEN(tbl_SeqLib[[#This Row],[Well]])-1)</f>
        <v>3</v>
      </c>
      <c r="C23" s="19" t="s">
        <v>81</v>
      </c>
      <c r="D23" s="19"/>
      <c r="E23" s="20"/>
      <c r="F23" s="19"/>
      <c r="G23" s="41"/>
      <c r="H23" s="20" t="s">
        <v>82</v>
      </c>
      <c r="I23" s="68">
        <f>IF(LEN(tbl_SeqLib[[#This Row],[PCR '[DNA'] (ng / µl)]])&gt;0,1,0)</f>
        <v>0</v>
      </c>
      <c r="J23" s="68">
        <f>IF(LEN(tbl_SeqLib[[#This Row],[Sample ID]])&gt;0,1,0)</f>
        <v>0</v>
      </c>
      <c r="K23" s="68">
        <f>IF(SUMIF(tbl_SeqLib[Column],tbl_SeqLib[[#This Row],[Column]],tbl_SeqLib[DNA conc present])&gt;0,1,0)</f>
        <v>0</v>
      </c>
      <c r="L23" s="68">
        <f>IF(SUM(tbl_SeqLib[[#This Row],[DNA conc present]:[Sample ID present]])&gt;0,1,0)</f>
        <v>0</v>
      </c>
      <c r="M2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3" s="69">
        <f>ROUNDDOWN(_xlfn.MAXIFS(tbl_SeqLib[Exact],tbl_SeqLib[Column],tbl_SeqLib[[#This Row],[Column]]),1)</f>
        <v>0</v>
      </c>
      <c r="O23" s="69" t="e">
        <f>AVERAGE(tbl_SeqLib[Exact])</f>
        <v>#DIV/0!</v>
      </c>
      <c r="P23" s="69">
        <f>MAX(tbl_SeqLib[Exact])</f>
        <v>0</v>
      </c>
      <c r="Q2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3" s="37"/>
      <c r="S23" s="69" t="str">
        <f>IF(tbl_SeqLib[[#This Row],[Calculate]],SUM(endrepair_maxvol-SUM(tbl_SeqLib[[#This Row],[PCR product (µl) to add (calculated)]:[PCR product (µl) added (if different from calculated)]])),"")</f>
        <v/>
      </c>
      <c r="T23" s="63" t="str">
        <f>IF(ISBLANK(#REF!),"",CONCATENATE(exp_id,"_",tbl_SeqLib[[#This Row],[Well]]))</f>
        <v>_E3</v>
      </c>
    </row>
    <row r="24" spans="1:20" ht="15.75" customHeight="1" x14ac:dyDescent="0.3">
      <c r="A24" s="29">
        <v>22</v>
      </c>
      <c r="B24" s="41" t="str">
        <f>RIGHT(tbl_SeqLib[[#This Row],[Well]],LEN(tbl_SeqLib[[#This Row],[Well]])-1)</f>
        <v>3</v>
      </c>
      <c r="C24" s="19" t="s">
        <v>83</v>
      </c>
      <c r="D24" s="19"/>
      <c r="E24" s="20"/>
      <c r="F24" s="19"/>
      <c r="G24" s="41"/>
      <c r="H24" s="20" t="s">
        <v>84</v>
      </c>
      <c r="I24" s="68">
        <f>IF(LEN(tbl_SeqLib[[#This Row],[PCR '[DNA'] (ng / µl)]])&gt;0,1,0)</f>
        <v>0</v>
      </c>
      <c r="J24" s="68">
        <f>IF(LEN(tbl_SeqLib[[#This Row],[Sample ID]])&gt;0,1,0)</f>
        <v>0</v>
      </c>
      <c r="K24" s="68">
        <f>IF(SUMIF(tbl_SeqLib[Column],tbl_SeqLib[[#This Row],[Column]],tbl_SeqLib[DNA conc present])&gt;0,1,0)</f>
        <v>0</v>
      </c>
      <c r="L24" s="68">
        <f>IF(SUM(tbl_SeqLib[[#This Row],[DNA conc present]:[Sample ID present]])&gt;0,1,0)</f>
        <v>0</v>
      </c>
      <c r="M2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4" s="69">
        <f>ROUNDDOWN(_xlfn.MAXIFS(tbl_SeqLib[Exact],tbl_SeqLib[Column],tbl_SeqLib[[#This Row],[Column]]),1)</f>
        <v>0</v>
      </c>
      <c r="O24" s="69" t="e">
        <f>AVERAGE(tbl_SeqLib[Exact])</f>
        <v>#DIV/0!</v>
      </c>
      <c r="P24" s="69">
        <f>MAX(tbl_SeqLib[Exact])</f>
        <v>0</v>
      </c>
      <c r="Q2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4" s="37"/>
      <c r="S24" s="69" t="str">
        <f>IF(tbl_SeqLib[[#This Row],[Calculate]],SUM(endrepair_maxvol-SUM(tbl_SeqLib[[#This Row],[PCR product (µl) to add (calculated)]:[PCR product (µl) added (if different from calculated)]])),"")</f>
        <v/>
      </c>
      <c r="T24" s="63" t="str">
        <f>IF(ISBLANK(#REF!),"",CONCATENATE(exp_id,"_",tbl_SeqLib[[#This Row],[Well]]))</f>
        <v>_F3</v>
      </c>
    </row>
    <row r="25" spans="1:20" ht="15.75" customHeight="1" x14ac:dyDescent="0.3">
      <c r="A25" s="29">
        <v>23</v>
      </c>
      <c r="B25" s="41" t="str">
        <f>RIGHT(tbl_SeqLib[[#This Row],[Well]],LEN(tbl_SeqLib[[#This Row],[Well]])-1)</f>
        <v>3</v>
      </c>
      <c r="C25" s="19" t="s">
        <v>85</v>
      </c>
      <c r="D25" s="19"/>
      <c r="E25" s="20"/>
      <c r="F25" s="19"/>
      <c r="G25" s="41"/>
      <c r="H25" s="20" t="s">
        <v>86</v>
      </c>
      <c r="I25" s="68">
        <f>IF(LEN(tbl_SeqLib[[#This Row],[PCR '[DNA'] (ng / µl)]])&gt;0,1,0)</f>
        <v>0</v>
      </c>
      <c r="J25" s="68">
        <f>IF(LEN(tbl_SeqLib[[#This Row],[Sample ID]])&gt;0,1,0)</f>
        <v>0</v>
      </c>
      <c r="K25" s="68">
        <f>IF(SUMIF(tbl_SeqLib[Column],tbl_SeqLib[[#This Row],[Column]],tbl_SeqLib[DNA conc present])&gt;0,1,0)</f>
        <v>0</v>
      </c>
      <c r="L25" s="68">
        <f>IF(SUM(tbl_SeqLib[[#This Row],[DNA conc present]:[Sample ID present]])&gt;0,1,0)</f>
        <v>0</v>
      </c>
      <c r="M2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5" s="69">
        <f>ROUNDDOWN(_xlfn.MAXIFS(tbl_SeqLib[Exact],tbl_SeqLib[Column],tbl_SeqLib[[#This Row],[Column]]),1)</f>
        <v>0</v>
      </c>
      <c r="O25" s="69" t="e">
        <f>AVERAGE(tbl_SeqLib[Exact])</f>
        <v>#DIV/0!</v>
      </c>
      <c r="P25" s="69">
        <f>MAX(tbl_SeqLib[Exact])</f>
        <v>0</v>
      </c>
      <c r="Q2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5" s="37"/>
      <c r="S25" s="69" t="str">
        <f>IF(tbl_SeqLib[[#This Row],[Calculate]],SUM(endrepair_maxvol-SUM(tbl_SeqLib[[#This Row],[PCR product (µl) to add (calculated)]:[PCR product (µl) added (if different from calculated)]])),"")</f>
        <v/>
      </c>
      <c r="T25" s="63" t="str">
        <f>IF(ISBLANK(#REF!),"",CONCATENATE(exp_id,"_",tbl_SeqLib[[#This Row],[Well]]))</f>
        <v>_G3</v>
      </c>
    </row>
    <row r="26" spans="1:20" ht="15.75" customHeight="1" thickBot="1" x14ac:dyDescent="0.35">
      <c r="A26" s="30">
        <v>24</v>
      </c>
      <c r="B26" s="42" t="str">
        <f>RIGHT(tbl_SeqLib[[#This Row],[Well]],LEN(tbl_SeqLib[[#This Row],[Well]])-1)</f>
        <v>3</v>
      </c>
      <c r="C26" s="31" t="s">
        <v>87</v>
      </c>
      <c r="D26" s="31"/>
      <c r="E26" s="32"/>
      <c r="F26" s="31"/>
      <c r="G26" s="42"/>
      <c r="H26" s="32" t="s">
        <v>88</v>
      </c>
      <c r="I26" s="70">
        <f>IF(LEN(tbl_SeqLib[[#This Row],[PCR '[DNA'] (ng / µl)]])&gt;0,1,0)</f>
        <v>0</v>
      </c>
      <c r="J26" s="70">
        <f>IF(LEN(tbl_SeqLib[[#This Row],[Sample ID]])&gt;0,1,0)</f>
        <v>0</v>
      </c>
      <c r="K26" s="70">
        <f>IF(SUMIF(tbl_SeqLib[Column],tbl_SeqLib[[#This Row],[Column]],tbl_SeqLib[DNA conc present])&gt;0,1,0)</f>
        <v>0</v>
      </c>
      <c r="L26" s="70">
        <f>IF(SUM(tbl_SeqLib[[#This Row],[DNA conc present]:[Sample ID present]])&gt;0,1,0)</f>
        <v>0</v>
      </c>
      <c r="M26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6" s="71">
        <f>ROUNDDOWN(_xlfn.MAXIFS(tbl_SeqLib[Exact],tbl_SeqLib[Column],tbl_SeqLib[[#This Row],[Column]]),1)</f>
        <v>0</v>
      </c>
      <c r="O26" s="71" t="e">
        <f>AVERAGE(tbl_SeqLib[Exact])</f>
        <v>#DIV/0!</v>
      </c>
      <c r="P26" s="71">
        <f>MAX(tbl_SeqLib[Exact])</f>
        <v>0</v>
      </c>
      <c r="Q26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6" s="38"/>
      <c r="S26" s="71" t="str">
        <f>IF(tbl_SeqLib[[#This Row],[Calculate]],SUM(endrepair_maxvol-SUM(tbl_SeqLib[[#This Row],[PCR product (µl) to add (calculated)]:[PCR product (µl) added (if different from calculated)]])),"")</f>
        <v/>
      </c>
      <c r="T26" s="64" t="str">
        <f>IF(ISBLANK(#REF!),"",CONCATENATE(exp_id,"_",tbl_SeqLib[[#This Row],[Well]]))</f>
        <v>_H3</v>
      </c>
    </row>
    <row r="27" spans="1:20" ht="15.75" customHeight="1" x14ac:dyDescent="0.3">
      <c r="A27" s="26">
        <v>25</v>
      </c>
      <c r="B27" s="40" t="str">
        <f>RIGHT(tbl_SeqLib[[#This Row],[Well]],LEN(tbl_SeqLib[[#This Row],[Well]])-1)</f>
        <v>4</v>
      </c>
      <c r="C27" s="27" t="s">
        <v>89</v>
      </c>
      <c r="D27" s="27"/>
      <c r="E27" s="28"/>
      <c r="F27" s="27"/>
      <c r="G27" s="40"/>
      <c r="H27" s="28" t="s">
        <v>90</v>
      </c>
      <c r="I27" s="66">
        <f>IF(LEN(tbl_SeqLib[[#This Row],[PCR '[DNA'] (ng / µl)]])&gt;0,1,0)</f>
        <v>0</v>
      </c>
      <c r="J27" s="66">
        <f>IF(LEN(tbl_SeqLib[[#This Row],[Sample ID]])&gt;0,1,0)</f>
        <v>0</v>
      </c>
      <c r="K27" s="66">
        <f>IF(SUMIF(tbl_SeqLib[Column],tbl_SeqLib[[#This Row],[Column]],tbl_SeqLib[DNA conc present])&gt;0,1,0)</f>
        <v>0</v>
      </c>
      <c r="L27" s="66">
        <f>IF(SUM(tbl_SeqLib[[#This Row],[DNA conc present]:[Sample ID present]])&gt;0,1,0)</f>
        <v>0</v>
      </c>
      <c r="M27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7" s="67">
        <f>ROUNDDOWN(_xlfn.MAXIFS(tbl_SeqLib[Exact],tbl_SeqLib[Column],tbl_SeqLib[[#This Row],[Column]]),1)</f>
        <v>0</v>
      </c>
      <c r="O27" s="67" t="e">
        <f>AVERAGE(tbl_SeqLib[Exact])</f>
        <v>#DIV/0!</v>
      </c>
      <c r="P27" s="67">
        <f>MAX(tbl_SeqLib[Exact])</f>
        <v>0</v>
      </c>
      <c r="Q27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7" s="36"/>
      <c r="S27" s="60" t="str">
        <f>IF(tbl_SeqLib[[#This Row],[Calculate]],SUM(endrepair_maxvol-SUM(tbl_SeqLib[[#This Row],[PCR product (µl) to add (calculated)]:[PCR product (µl) added (if different from calculated)]])),"")</f>
        <v/>
      </c>
      <c r="T27" s="63" t="str">
        <f>IF(ISBLANK(#REF!),"",CONCATENATE(exp_id,"_",tbl_SeqLib[[#This Row],[Well]]))</f>
        <v>_A4</v>
      </c>
    </row>
    <row r="28" spans="1:20" ht="15.75" customHeight="1" x14ac:dyDescent="0.3">
      <c r="A28" s="29">
        <v>26</v>
      </c>
      <c r="B28" s="41" t="str">
        <f>RIGHT(tbl_SeqLib[[#This Row],[Well]],LEN(tbl_SeqLib[[#This Row],[Well]])-1)</f>
        <v>4</v>
      </c>
      <c r="C28" s="19" t="s">
        <v>91</v>
      </c>
      <c r="D28" s="19"/>
      <c r="E28" s="20"/>
      <c r="F28" s="19"/>
      <c r="G28" s="41"/>
      <c r="H28" s="20" t="s">
        <v>92</v>
      </c>
      <c r="I28" s="68">
        <f>IF(LEN(tbl_SeqLib[[#This Row],[PCR '[DNA'] (ng / µl)]])&gt;0,1,0)</f>
        <v>0</v>
      </c>
      <c r="J28" s="68">
        <f>IF(LEN(tbl_SeqLib[[#This Row],[Sample ID]])&gt;0,1,0)</f>
        <v>0</v>
      </c>
      <c r="K28" s="68">
        <f>IF(SUMIF(tbl_SeqLib[Column],tbl_SeqLib[[#This Row],[Column]],tbl_SeqLib[DNA conc present])&gt;0,1,0)</f>
        <v>0</v>
      </c>
      <c r="L28" s="68">
        <f>IF(SUM(tbl_SeqLib[[#This Row],[DNA conc present]:[Sample ID present]])&gt;0,1,0)</f>
        <v>0</v>
      </c>
      <c r="M2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8" s="69">
        <f>ROUNDDOWN(_xlfn.MAXIFS(tbl_SeqLib[Exact],tbl_SeqLib[Column],tbl_SeqLib[[#This Row],[Column]]),1)</f>
        <v>0</v>
      </c>
      <c r="O28" s="69" t="e">
        <f>AVERAGE(tbl_SeqLib[Exact])</f>
        <v>#DIV/0!</v>
      </c>
      <c r="P28" s="69">
        <f>MAX(tbl_SeqLib[Exact])</f>
        <v>0</v>
      </c>
      <c r="Q2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8" s="37"/>
      <c r="S28" s="61" t="str">
        <f>IF(tbl_SeqLib[[#This Row],[Calculate]],SUM(endrepair_maxvol-SUM(tbl_SeqLib[[#This Row],[PCR product (µl) to add (calculated)]:[PCR product (µl) added (if different from calculated)]])),"")</f>
        <v/>
      </c>
      <c r="T28" s="63" t="str">
        <f>IF(ISBLANK(#REF!),"",CONCATENATE(exp_id,"_",tbl_SeqLib[[#This Row],[Well]]))</f>
        <v>_B4</v>
      </c>
    </row>
    <row r="29" spans="1:20" ht="15.75" customHeight="1" x14ac:dyDescent="0.3">
      <c r="A29" s="29">
        <v>27</v>
      </c>
      <c r="B29" s="41" t="str">
        <f>RIGHT(tbl_SeqLib[[#This Row],[Well]],LEN(tbl_SeqLib[[#This Row],[Well]])-1)</f>
        <v>4</v>
      </c>
      <c r="C29" s="19" t="s">
        <v>93</v>
      </c>
      <c r="D29" s="19"/>
      <c r="E29" s="20"/>
      <c r="F29" s="19"/>
      <c r="G29" s="41"/>
      <c r="H29" s="20" t="s">
        <v>94</v>
      </c>
      <c r="I29" s="68">
        <f>IF(LEN(tbl_SeqLib[[#This Row],[PCR '[DNA'] (ng / µl)]])&gt;0,1,0)</f>
        <v>0</v>
      </c>
      <c r="J29" s="68">
        <f>IF(LEN(tbl_SeqLib[[#This Row],[Sample ID]])&gt;0,1,0)</f>
        <v>0</v>
      </c>
      <c r="K29" s="68">
        <f>IF(SUMIF(tbl_SeqLib[Column],tbl_SeqLib[[#This Row],[Column]],tbl_SeqLib[DNA conc present])&gt;0,1,0)</f>
        <v>0</v>
      </c>
      <c r="L29" s="68">
        <f>IF(SUM(tbl_SeqLib[[#This Row],[DNA conc present]:[Sample ID present]])&gt;0,1,0)</f>
        <v>0</v>
      </c>
      <c r="M2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29" s="69">
        <f>ROUNDDOWN(_xlfn.MAXIFS(tbl_SeqLib[Exact],tbl_SeqLib[Column],tbl_SeqLib[[#This Row],[Column]]),1)</f>
        <v>0</v>
      </c>
      <c r="O29" s="69" t="e">
        <f>AVERAGE(tbl_SeqLib[Exact])</f>
        <v>#DIV/0!</v>
      </c>
      <c r="P29" s="69">
        <f>MAX(tbl_SeqLib[Exact])</f>
        <v>0</v>
      </c>
      <c r="Q2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29" s="37"/>
      <c r="S29" s="61" t="str">
        <f>IF(tbl_SeqLib[[#This Row],[Calculate]],SUM(endrepair_maxvol-SUM(tbl_SeqLib[[#This Row],[PCR product (µl) to add (calculated)]:[PCR product (µl) added (if different from calculated)]])),"")</f>
        <v/>
      </c>
      <c r="T29" s="63" t="str">
        <f>IF(ISBLANK(#REF!),"",CONCATENATE(exp_id,"_",tbl_SeqLib[[#This Row],[Well]]))</f>
        <v>_C4</v>
      </c>
    </row>
    <row r="30" spans="1:20" ht="15.75" customHeight="1" x14ac:dyDescent="0.3">
      <c r="A30" s="29">
        <v>28</v>
      </c>
      <c r="B30" s="41" t="str">
        <f>RIGHT(tbl_SeqLib[[#This Row],[Well]],LEN(tbl_SeqLib[[#This Row],[Well]])-1)</f>
        <v>4</v>
      </c>
      <c r="C30" s="19" t="s">
        <v>95</v>
      </c>
      <c r="D30" s="19"/>
      <c r="E30" s="20"/>
      <c r="F30" s="19"/>
      <c r="G30" s="41"/>
      <c r="H30" s="20" t="s">
        <v>96</v>
      </c>
      <c r="I30" s="68">
        <f>IF(LEN(tbl_SeqLib[[#This Row],[PCR '[DNA'] (ng / µl)]])&gt;0,1,0)</f>
        <v>0</v>
      </c>
      <c r="J30" s="68">
        <f>IF(LEN(tbl_SeqLib[[#This Row],[Sample ID]])&gt;0,1,0)</f>
        <v>0</v>
      </c>
      <c r="K30" s="68">
        <f>IF(SUMIF(tbl_SeqLib[Column],tbl_SeqLib[[#This Row],[Column]],tbl_SeqLib[DNA conc present])&gt;0,1,0)</f>
        <v>0</v>
      </c>
      <c r="L30" s="68">
        <f>IF(SUM(tbl_SeqLib[[#This Row],[DNA conc present]:[Sample ID present]])&gt;0,1,0)</f>
        <v>0</v>
      </c>
      <c r="M30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0" s="69">
        <f>ROUNDDOWN(_xlfn.MAXIFS(tbl_SeqLib[Exact],tbl_SeqLib[Column],tbl_SeqLib[[#This Row],[Column]]),1)</f>
        <v>0</v>
      </c>
      <c r="O30" s="69" t="e">
        <f>AVERAGE(tbl_SeqLib[Exact])</f>
        <v>#DIV/0!</v>
      </c>
      <c r="P30" s="69">
        <f>MAX(tbl_SeqLib[Exact])</f>
        <v>0</v>
      </c>
      <c r="Q30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0" s="37"/>
      <c r="S30" s="61" t="str">
        <f>IF(tbl_SeqLib[[#This Row],[Calculate]],SUM(endrepair_maxvol-SUM(tbl_SeqLib[[#This Row],[PCR product (µl) to add (calculated)]:[PCR product (µl) added (if different from calculated)]])),"")</f>
        <v/>
      </c>
      <c r="T30" s="63" t="str">
        <f>IF(ISBLANK(#REF!),"",CONCATENATE(exp_id,"_",tbl_SeqLib[[#This Row],[Well]]))</f>
        <v>_D4</v>
      </c>
    </row>
    <row r="31" spans="1:20" ht="15.75" customHeight="1" x14ac:dyDescent="0.3">
      <c r="A31" s="29">
        <v>29</v>
      </c>
      <c r="B31" s="41" t="str">
        <f>RIGHT(tbl_SeqLib[[#This Row],[Well]],LEN(tbl_SeqLib[[#This Row],[Well]])-1)</f>
        <v>4</v>
      </c>
      <c r="C31" s="19" t="s">
        <v>97</v>
      </c>
      <c r="D31" s="19"/>
      <c r="E31" s="20"/>
      <c r="F31" s="19"/>
      <c r="G31" s="41"/>
      <c r="H31" s="20" t="s">
        <v>98</v>
      </c>
      <c r="I31" s="68">
        <f>IF(LEN(tbl_SeqLib[[#This Row],[PCR '[DNA'] (ng / µl)]])&gt;0,1,0)</f>
        <v>0</v>
      </c>
      <c r="J31" s="68">
        <f>IF(LEN(tbl_SeqLib[[#This Row],[Sample ID]])&gt;0,1,0)</f>
        <v>0</v>
      </c>
      <c r="K31" s="68">
        <f>IF(SUMIF(tbl_SeqLib[Column],tbl_SeqLib[[#This Row],[Column]],tbl_SeqLib[DNA conc present])&gt;0,1,0)</f>
        <v>0</v>
      </c>
      <c r="L31" s="68">
        <f>IF(SUM(tbl_SeqLib[[#This Row],[DNA conc present]:[Sample ID present]])&gt;0,1,0)</f>
        <v>0</v>
      </c>
      <c r="M31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1" s="69">
        <f>ROUNDDOWN(_xlfn.MAXIFS(tbl_SeqLib[Exact],tbl_SeqLib[Column],tbl_SeqLib[[#This Row],[Column]]),1)</f>
        <v>0</v>
      </c>
      <c r="O31" s="69" t="e">
        <f>AVERAGE(tbl_SeqLib[Exact])</f>
        <v>#DIV/0!</v>
      </c>
      <c r="P31" s="69">
        <f>MAX(tbl_SeqLib[Exact])</f>
        <v>0</v>
      </c>
      <c r="Q31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1" s="37"/>
      <c r="S31" s="61" t="str">
        <f>IF(tbl_SeqLib[[#This Row],[Calculate]],SUM(endrepair_maxvol-SUM(tbl_SeqLib[[#This Row],[PCR product (µl) to add (calculated)]:[PCR product (µl) added (if different from calculated)]])),"")</f>
        <v/>
      </c>
      <c r="T31" s="63" t="str">
        <f>IF(ISBLANK(#REF!),"",CONCATENATE(exp_id,"_",tbl_SeqLib[[#This Row],[Well]]))</f>
        <v>_E4</v>
      </c>
    </row>
    <row r="32" spans="1:20" ht="15.75" customHeight="1" x14ac:dyDescent="0.3">
      <c r="A32" s="29">
        <v>30</v>
      </c>
      <c r="B32" s="41" t="str">
        <f>RIGHT(tbl_SeqLib[[#This Row],[Well]],LEN(tbl_SeqLib[[#This Row],[Well]])-1)</f>
        <v>4</v>
      </c>
      <c r="C32" s="19" t="s">
        <v>99</v>
      </c>
      <c r="D32" s="19"/>
      <c r="E32" s="20"/>
      <c r="F32" s="19"/>
      <c r="G32" s="41"/>
      <c r="H32" s="20" t="s">
        <v>100</v>
      </c>
      <c r="I32" s="68">
        <f>IF(LEN(tbl_SeqLib[[#This Row],[PCR '[DNA'] (ng / µl)]])&gt;0,1,0)</f>
        <v>0</v>
      </c>
      <c r="J32" s="68">
        <f>IF(LEN(tbl_SeqLib[[#This Row],[Sample ID]])&gt;0,1,0)</f>
        <v>0</v>
      </c>
      <c r="K32" s="68">
        <f>IF(SUMIF(tbl_SeqLib[Column],tbl_SeqLib[[#This Row],[Column]],tbl_SeqLib[DNA conc present])&gt;0,1,0)</f>
        <v>0</v>
      </c>
      <c r="L32" s="68">
        <f>IF(SUM(tbl_SeqLib[[#This Row],[DNA conc present]:[Sample ID present]])&gt;0,1,0)</f>
        <v>0</v>
      </c>
      <c r="M3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2" s="69">
        <f>ROUNDDOWN(_xlfn.MAXIFS(tbl_SeqLib[Exact],tbl_SeqLib[Column],tbl_SeqLib[[#This Row],[Column]]),1)</f>
        <v>0</v>
      </c>
      <c r="O32" s="69" t="e">
        <f>AVERAGE(tbl_SeqLib[Exact])</f>
        <v>#DIV/0!</v>
      </c>
      <c r="P32" s="69">
        <f>MAX(tbl_SeqLib[Exact])</f>
        <v>0</v>
      </c>
      <c r="Q3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2" s="37"/>
      <c r="S32" s="61" t="str">
        <f>IF(tbl_SeqLib[[#This Row],[Calculate]],SUM(endrepair_maxvol-SUM(tbl_SeqLib[[#This Row],[PCR product (µl) to add (calculated)]:[PCR product (µl) added (if different from calculated)]])),"")</f>
        <v/>
      </c>
      <c r="T32" s="63" t="str">
        <f>IF(ISBLANK(#REF!),"",CONCATENATE(exp_id,"_",tbl_SeqLib[[#This Row],[Well]]))</f>
        <v>_F4</v>
      </c>
    </row>
    <row r="33" spans="1:20" ht="15.75" customHeight="1" x14ac:dyDescent="0.3">
      <c r="A33" s="29">
        <v>31</v>
      </c>
      <c r="B33" s="41" t="str">
        <f>RIGHT(tbl_SeqLib[[#This Row],[Well]],LEN(tbl_SeqLib[[#This Row],[Well]])-1)</f>
        <v>4</v>
      </c>
      <c r="C33" s="19" t="s">
        <v>101</v>
      </c>
      <c r="D33" s="19"/>
      <c r="E33" s="20"/>
      <c r="F33" s="19"/>
      <c r="G33" s="41"/>
      <c r="H33" s="20" t="s">
        <v>102</v>
      </c>
      <c r="I33" s="68">
        <f>IF(LEN(tbl_SeqLib[[#This Row],[PCR '[DNA'] (ng / µl)]])&gt;0,1,0)</f>
        <v>0</v>
      </c>
      <c r="J33" s="68">
        <f>IF(LEN(tbl_SeqLib[[#This Row],[Sample ID]])&gt;0,1,0)</f>
        <v>0</v>
      </c>
      <c r="K33" s="68">
        <f>IF(SUMIF(tbl_SeqLib[Column],tbl_SeqLib[[#This Row],[Column]],tbl_SeqLib[DNA conc present])&gt;0,1,0)</f>
        <v>0</v>
      </c>
      <c r="L33" s="68">
        <f>IF(SUM(tbl_SeqLib[[#This Row],[DNA conc present]:[Sample ID present]])&gt;0,1,0)</f>
        <v>0</v>
      </c>
      <c r="M3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3" s="69">
        <f>ROUNDDOWN(_xlfn.MAXIFS(tbl_SeqLib[Exact],tbl_SeqLib[Column],tbl_SeqLib[[#This Row],[Column]]),1)</f>
        <v>0</v>
      </c>
      <c r="O33" s="69" t="e">
        <f>AVERAGE(tbl_SeqLib[Exact])</f>
        <v>#DIV/0!</v>
      </c>
      <c r="P33" s="69">
        <f>MAX(tbl_SeqLib[Exact])</f>
        <v>0</v>
      </c>
      <c r="Q3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3" s="37"/>
      <c r="S33" s="61" t="str">
        <f>IF(tbl_SeqLib[[#This Row],[Calculate]],SUM(endrepair_maxvol-SUM(tbl_SeqLib[[#This Row],[PCR product (µl) to add (calculated)]:[PCR product (µl) added (if different from calculated)]])),"")</f>
        <v/>
      </c>
      <c r="T33" s="63" t="str">
        <f>IF(ISBLANK(#REF!),"",CONCATENATE(exp_id,"_",tbl_SeqLib[[#This Row],[Well]]))</f>
        <v>_G4</v>
      </c>
    </row>
    <row r="34" spans="1:20" ht="15.75" customHeight="1" thickBot="1" x14ac:dyDescent="0.35">
      <c r="A34" s="30">
        <v>32</v>
      </c>
      <c r="B34" s="42" t="str">
        <f>RIGHT(tbl_SeqLib[[#This Row],[Well]],LEN(tbl_SeqLib[[#This Row],[Well]])-1)</f>
        <v>4</v>
      </c>
      <c r="C34" s="31" t="s">
        <v>103</v>
      </c>
      <c r="D34" s="31"/>
      <c r="E34" s="32"/>
      <c r="F34" s="31"/>
      <c r="G34" s="42"/>
      <c r="H34" s="32" t="s">
        <v>104</v>
      </c>
      <c r="I34" s="70">
        <f>IF(LEN(tbl_SeqLib[[#This Row],[PCR '[DNA'] (ng / µl)]])&gt;0,1,0)</f>
        <v>0</v>
      </c>
      <c r="J34" s="70">
        <f>IF(LEN(tbl_SeqLib[[#This Row],[Sample ID]])&gt;0,1,0)</f>
        <v>0</v>
      </c>
      <c r="K34" s="70">
        <f>IF(SUMIF(tbl_SeqLib[Column],tbl_SeqLib[[#This Row],[Column]],tbl_SeqLib[DNA conc present])&gt;0,1,0)</f>
        <v>0</v>
      </c>
      <c r="L34" s="70">
        <f>IF(SUM(tbl_SeqLib[[#This Row],[DNA conc present]:[Sample ID present]])&gt;0,1,0)</f>
        <v>0</v>
      </c>
      <c r="M34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4" s="71">
        <f>ROUNDDOWN(_xlfn.MAXIFS(tbl_SeqLib[Exact],tbl_SeqLib[Column],tbl_SeqLib[[#This Row],[Column]]),1)</f>
        <v>0</v>
      </c>
      <c r="O34" s="71" t="e">
        <f>AVERAGE(tbl_SeqLib[Exact])</f>
        <v>#DIV/0!</v>
      </c>
      <c r="P34" s="71">
        <f>MAX(tbl_SeqLib[Exact])</f>
        <v>0</v>
      </c>
      <c r="Q34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4" s="38"/>
      <c r="S34" s="62" t="str">
        <f>IF(tbl_SeqLib[[#This Row],[Calculate]],SUM(endrepair_maxvol-SUM(tbl_SeqLib[[#This Row],[PCR product (µl) to add (calculated)]:[PCR product (µl) added (if different from calculated)]])),"")</f>
        <v/>
      </c>
      <c r="T34" s="64" t="str">
        <f>IF(ISBLANK(#REF!),"",CONCATENATE(exp_id,"_",tbl_SeqLib[[#This Row],[Well]]))</f>
        <v>_H4</v>
      </c>
    </row>
    <row r="35" spans="1:20" ht="15.75" customHeight="1" x14ac:dyDescent="0.3">
      <c r="A35" s="26">
        <v>33</v>
      </c>
      <c r="B35" s="40" t="str">
        <f>RIGHT(tbl_SeqLib[[#This Row],[Well]],LEN(tbl_SeqLib[[#This Row],[Well]])-1)</f>
        <v>5</v>
      </c>
      <c r="C35" s="27" t="s">
        <v>105</v>
      </c>
      <c r="D35" s="27"/>
      <c r="E35" s="28"/>
      <c r="F35" s="27"/>
      <c r="G35" s="40"/>
      <c r="H35" s="28" t="s">
        <v>106</v>
      </c>
      <c r="I35" s="66">
        <f>IF(LEN(tbl_SeqLib[[#This Row],[PCR '[DNA'] (ng / µl)]])&gt;0,1,0)</f>
        <v>0</v>
      </c>
      <c r="J35" s="66">
        <f>IF(LEN(tbl_SeqLib[[#This Row],[Sample ID]])&gt;0,1,0)</f>
        <v>0</v>
      </c>
      <c r="K35" s="66">
        <f>IF(SUMIF(tbl_SeqLib[Column],tbl_SeqLib[[#This Row],[Column]],tbl_SeqLib[DNA conc present])&gt;0,1,0)</f>
        <v>0</v>
      </c>
      <c r="L35" s="66">
        <f>IF(SUM(tbl_SeqLib[[#This Row],[DNA conc present]:[Sample ID present]])&gt;0,1,0)</f>
        <v>0</v>
      </c>
      <c r="M35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5" s="67">
        <f>ROUNDDOWN(_xlfn.MAXIFS(tbl_SeqLib[Exact],tbl_SeqLib[Column],tbl_SeqLib[[#This Row],[Column]]),1)</f>
        <v>0</v>
      </c>
      <c r="O35" s="67" t="e">
        <f>AVERAGE(tbl_SeqLib[Exact])</f>
        <v>#DIV/0!</v>
      </c>
      <c r="P35" s="67">
        <f>MAX(tbl_SeqLib[Exact])</f>
        <v>0</v>
      </c>
      <c r="Q35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5" s="36"/>
      <c r="S35" s="60" t="str">
        <f>IF(tbl_SeqLib[[#This Row],[Calculate]],SUM(endrepair_maxvol-SUM(tbl_SeqLib[[#This Row],[PCR product (µl) to add (calculated)]:[PCR product (µl) added (if different from calculated)]])),"")</f>
        <v/>
      </c>
      <c r="T35" s="52" t="str">
        <f>IF(ISBLANK(#REF!),"",CONCATENATE(exp_id,"_",tbl_SeqLib[[#This Row],[Well]]))</f>
        <v>_A5</v>
      </c>
    </row>
    <row r="36" spans="1:20" ht="15.75" customHeight="1" x14ac:dyDescent="0.3">
      <c r="A36" s="29">
        <v>34</v>
      </c>
      <c r="B36" s="41" t="str">
        <f>RIGHT(tbl_SeqLib[[#This Row],[Well]],LEN(tbl_SeqLib[[#This Row],[Well]])-1)</f>
        <v>5</v>
      </c>
      <c r="C36" s="19" t="s">
        <v>107</v>
      </c>
      <c r="D36" s="19"/>
      <c r="E36" s="20"/>
      <c r="F36" s="19"/>
      <c r="G36" s="41"/>
      <c r="H36" s="20" t="s">
        <v>108</v>
      </c>
      <c r="I36" s="68">
        <f>IF(LEN(tbl_SeqLib[[#This Row],[PCR '[DNA'] (ng / µl)]])&gt;0,1,0)</f>
        <v>0</v>
      </c>
      <c r="J36" s="68">
        <f>IF(LEN(tbl_SeqLib[[#This Row],[Sample ID]])&gt;0,1,0)</f>
        <v>0</v>
      </c>
      <c r="K36" s="68">
        <f>IF(SUMIF(tbl_SeqLib[Column],tbl_SeqLib[[#This Row],[Column]],tbl_SeqLib[DNA conc present])&gt;0,1,0)</f>
        <v>0</v>
      </c>
      <c r="L36" s="68">
        <f>IF(SUM(tbl_SeqLib[[#This Row],[DNA conc present]:[Sample ID present]])&gt;0,1,0)</f>
        <v>0</v>
      </c>
      <c r="M3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6" s="69">
        <f>ROUNDDOWN(_xlfn.MAXIFS(tbl_SeqLib[Exact],tbl_SeqLib[Column],tbl_SeqLib[[#This Row],[Column]]),1)</f>
        <v>0</v>
      </c>
      <c r="O36" s="69" t="e">
        <f>AVERAGE(tbl_SeqLib[Exact])</f>
        <v>#DIV/0!</v>
      </c>
      <c r="P36" s="69">
        <f>MAX(tbl_SeqLib[Exact])</f>
        <v>0</v>
      </c>
      <c r="Q3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6" s="37"/>
      <c r="S36" s="61" t="str">
        <f>IF(tbl_SeqLib[[#This Row],[Calculate]],SUM(endrepair_maxvol-SUM(tbl_SeqLib[[#This Row],[PCR product (µl) to add (calculated)]:[PCR product (µl) added (if different from calculated)]])),"")</f>
        <v/>
      </c>
      <c r="T36" s="63" t="str">
        <f>IF(ISBLANK(#REF!),"",CONCATENATE(exp_id,"_",tbl_SeqLib[[#This Row],[Well]]))</f>
        <v>_B5</v>
      </c>
    </row>
    <row r="37" spans="1:20" ht="15.75" customHeight="1" x14ac:dyDescent="0.3">
      <c r="A37" s="29">
        <v>35</v>
      </c>
      <c r="B37" s="41" t="str">
        <f>RIGHT(tbl_SeqLib[[#This Row],[Well]],LEN(tbl_SeqLib[[#This Row],[Well]])-1)</f>
        <v>5</v>
      </c>
      <c r="C37" s="19" t="s">
        <v>109</v>
      </c>
      <c r="D37" s="19"/>
      <c r="E37" s="20"/>
      <c r="F37" s="19"/>
      <c r="G37" s="41"/>
      <c r="H37" s="20" t="s">
        <v>110</v>
      </c>
      <c r="I37" s="68">
        <f>IF(LEN(tbl_SeqLib[[#This Row],[PCR '[DNA'] (ng / µl)]])&gt;0,1,0)</f>
        <v>0</v>
      </c>
      <c r="J37" s="68">
        <f>IF(LEN(tbl_SeqLib[[#This Row],[Sample ID]])&gt;0,1,0)</f>
        <v>0</v>
      </c>
      <c r="K37" s="68">
        <f>IF(SUMIF(tbl_SeqLib[Column],tbl_SeqLib[[#This Row],[Column]],tbl_SeqLib[DNA conc present])&gt;0,1,0)</f>
        <v>0</v>
      </c>
      <c r="L37" s="68">
        <f>IF(SUM(tbl_SeqLib[[#This Row],[DNA conc present]:[Sample ID present]])&gt;0,1,0)</f>
        <v>0</v>
      </c>
      <c r="M3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7" s="69">
        <f>ROUNDDOWN(_xlfn.MAXIFS(tbl_SeqLib[Exact],tbl_SeqLib[Column],tbl_SeqLib[[#This Row],[Column]]),1)</f>
        <v>0</v>
      </c>
      <c r="O37" s="69" t="e">
        <f>AVERAGE(tbl_SeqLib[Exact])</f>
        <v>#DIV/0!</v>
      </c>
      <c r="P37" s="69">
        <f>MAX(tbl_SeqLib[Exact])</f>
        <v>0</v>
      </c>
      <c r="Q3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7" s="37"/>
      <c r="S37" s="61" t="str">
        <f>IF(tbl_SeqLib[[#This Row],[Calculate]],SUM(endrepair_maxvol-SUM(tbl_SeqLib[[#This Row],[PCR product (µl) to add (calculated)]:[PCR product (µl) added (if different from calculated)]])),"")</f>
        <v/>
      </c>
      <c r="T37" s="63" t="str">
        <f>IF(ISBLANK(#REF!),"",CONCATENATE(exp_id,"_",tbl_SeqLib[[#This Row],[Well]]))</f>
        <v>_C5</v>
      </c>
    </row>
    <row r="38" spans="1:20" ht="15.75" customHeight="1" x14ac:dyDescent="0.3">
      <c r="A38" s="29">
        <v>36</v>
      </c>
      <c r="B38" s="41" t="str">
        <f>RIGHT(tbl_SeqLib[[#This Row],[Well]],LEN(tbl_SeqLib[[#This Row],[Well]])-1)</f>
        <v>5</v>
      </c>
      <c r="C38" s="19" t="s">
        <v>111</v>
      </c>
      <c r="D38" s="19"/>
      <c r="E38" s="20"/>
      <c r="F38" s="19"/>
      <c r="G38" s="41"/>
      <c r="H38" s="20" t="s">
        <v>112</v>
      </c>
      <c r="I38" s="68">
        <f>IF(LEN(tbl_SeqLib[[#This Row],[PCR '[DNA'] (ng / µl)]])&gt;0,1,0)</f>
        <v>0</v>
      </c>
      <c r="J38" s="68">
        <f>IF(LEN(tbl_SeqLib[[#This Row],[Sample ID]])&gt;0,1,0)</f>
        <v>0</v>
      </c>
      <c r="K38" s="68">
        <f>IF(SUMIF(tbl_SeqLib[Column],tbl_SeqLib[[#This Row],[Column]],tbl_SeqLib[DNA conc present])&gt;0,1,0)</f>
        <v>0</v>
      </c>
      <c r="L38" s="68">
        <f>IF(SUM(tbl_SeqLib[[#This Row],[DNA conc present]:[Sample ID present]])&gt;0,1,0)</f>
        <v>0</v>
      </c>
      <c r="M3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8" s="69">
        <f>ROUNDDOWN(_xlfn.MAXIFS(tbl_SeqLib[Exact],tbl_SeqLib[Column],tbl_SeqLib[[#This Row],[Column]]),1)</f>
        <v>0</v>
      </c>
      <c r="O38" s="69" t="e">
        <f>AVERAGE(tbl_SeqLib[Exact])</f>
        <v>#DIV/0!</v>
      </c>
      <c r="P38" s="69">
        <f>MAX(tbl_SeqLib[Exact])</f>
        <v>0</v>
      </c>
      <c r="Q3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8" s="37"/>
      <c r="S38" s="61" t="str">
        <f>IF(tbl_SeqLib[[#This Row],[Calculate]],SUM(endrepair_maxvol-SUM(tbl_SeqLib[[#This Row],[PCR product (µl) to add (calculated)]:[PCR product (µl) added (if different from calculated)]])),"")</f>
        <v/>
      </c>
      <c r="T38" s="63" t="str">
        <f>IF(ISBLANK(#REF!),"",CONCATENATE(exp_id,"_",tbl_SeqLib[[#This Row],[Well]]))</f>
        <v>_D5</v>
      </c>
    </row>
    <row r="39" spans="1:20" ht="15.75" customHeight="1" x14ac:dyDescent="0.3">
      <c r="A39" s="29">
        <v>37</v>
      </c>
      <c r="B39" s="41" t="str">
        <f>RIGHT(tbl_SeqLib[[#This Row],[Well]],LEN(tbl_SeqLib[[#This Row],[Well]])-1)</f>
        <v>5</v>
      </c>
      <c r="C39" s="19" t="s">
        <v>113</v>
      </c>
      <c r="D39" s="19"/>
      <c r="E39" s="20"/>
      <c r="F39" s="19"/>
      <c r="G39" s="41"/>
      <c r="H39" s="20" t="s">
        <v>114</v>
      </c>
      <c r="I39" s="68">
        <f>IF(LEN(tbl_SeqLib[[#This Row],[PCR '[DNA'] (ng / µl)]])&gt;0,1,0)</f>
        <v>0</v>
      </c>
      <c r="J39" s="68">
        <f>IF(LEN(tbl_SeqLib[[#This Row],[Sample ID]])&gt;0,1,0)</f>
        <v>0</v>
      </c>
      <c r="K39" s="68">
        <f>IF(SUMIF(tbl_SeqLib[Column],tbl_SeqLib[[#This Row],[Column]],tbl_SeqLib[DNA conc present])&gt;0,1,0)</f>
        <v>0</v>
      </c>
      <c r="L39" s="68">
        <f>IF(SUM(tbl_SeqLib[[#This Row],[DNA conc present]:[Sample ID present]])&gt;0,1,0)</f>
        <v>0</v>
      </c>
      <c r="M3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39" s="69">
        <f>ROUNDDOWN(_xlfn.MAXIFS(tbl_SeqLib[Exact],tbl_SeqLib[Column],tbl_SeqLib[[#This Row],[Column]]),1)</f>
        <v>0</v>
      </c>
      <c r="O39" s="69" t="e">
        <f>AVERAGE(tbl_SeqLib[Exact])</f>
        <v>#DIV/0!</v>
      </c>
      <c r="P39" s="69">
        <f>MAX(tbl_SeqLib[Exact])</f>
        <v>0</v>
      </c>
      <c r="Q3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39" s="37"/>
      <c r="S39" s="61" t="str">
        <f>IF(tbl_SeqLib[[#This Row],[Calculate]],SUM(endrepair_maxvol-SUM(tbl_SeqLib[[#This Row],[PCR product (µl) to add (calculated)]:[PCR product (µl) added (if different from calculated)]])),"")</f>
        <v/>
      </c>
      <c r="T39" s="63" t="str">
        <f>IF(ISBLANK(#REF!),"",CONCATENATE(exp_id,"_",tbl_SeqLib[[#This Row],[Well]]))</f>
        <v>_E5</v>
      </c>
    </row>
    <row r="40" spans="1:20" ht="15.75" customHeight="1" x14ac:dyDescent="0.3">
      <c r="A40" s="29">
        <v>38</v>
      </c>
      <c r="B40" s="41" t="str">
        <f>RIGHT(tbl_SeqLib[[#This Row],[Well]],LEN(tbl_SeqLib[[#This Row],[Well]])-1)</f>
        <v>5</v>
      </c>
      <c r="C40" s="19" t="s">
        <v>115</v>
      </c>
      <c r="D40" s="19"/>
      <c r="E40" s="20"/>
      <c r="F40" s="19"/>
      <c r="G40" s="41"/>
      <c r="H40" s="20" t="s">
        <v>116</v>
      </c>
      <c r="I40" s="68">
        <f>IF(LEN(tbl_SeqLib[[#This Row],[PCR '[DNA'] (ng / µl)]])&gt;0,1,0)</f>
        <v>0</v>
      </c>
      <c r="J40" s="68">
        <f>IF(LEN(tbl_SeqLib[[#This Row],[Sample ID]])&gt;0,1,0)</f>
        <v>0</v>
      </c>
      <c r="K40" s="68">
        <f>IF(SUMIF(tbl_SeqLib[Column],tbl_SeqLib[[#This Row],[Column]],tbl_SeqLib[DNA conc present])&gt;0,1,0)</f>
        <v>0</v>
      </c>
      <c r="L40" s="68">
        <f>IF(SUM(tbl_SeqLib[[#This Row],[DNA conc present]:[Sample ID present]])&gt;0,1,0)</f>
        <v>0</v>
      </c>
      <c r="M40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0" s="69">
        <f>ROUNDDOWN(_xlfn.MAXIFS(tbl_SeqLib[Exact],tbl_SeqLib[Column],tbl_SeqLib[[#This Row],[Column]]),1)</f>
        <v>0</v>
      </c>
      <c r="O40" s="69" t="e">
        <f>AVERAGE(tbl_SeqLib[Exact])</f>
        <v>#DIV/0!</v>
      </c>
      <c r="P40" s="69">
        <f>MAX(tbl_SeqLib[Exact])</f>
        <v>0</v>
      </c>
      <c r="Q40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0" s="37"/>
      <c r="S40" s="61" t="str">
        <f>IF(tbl_SeqLib[[#This Row],[Calculate]],SUM(endrepair_maxvol-SUM(tbl_SeqLib[[#This Row],[PCR product (µl) to add (calculated)]:[PCR product (µl) added (if different from calculated)]])),"")</f>
        <v/>
      </c>
      <c r="T40" s="63" t="str">
        <f>IF(ISBLANK(#REF!),"",CONCATENATE(exp_id,"_",tbl_SeqLib[[#This Row],[Well]]))</f>
        <v>_F5</v>
      </c>
    </row>
    <row r="41" spans="1:20" ht="15.75" customHeight="1" x14ac:dyDescent="0.3">
      <c r="A41" s="29">
        <v>39</v>
      </c>
      <c r="B41" s="41" t="str">
        <f>RIGHT(tbl_SeqLib[[#This Row],[Well]],LEN(tbl_SeqLib[[#This Row],[Well]])-1)</f>
        <v>5</v>
      </c>
      <c r="C41" s="19" t="s">
        <v>117</v>
      </c>
      <c r="D41" s="19"/>
      <c r="E41" s="20"/>
      <c r="F41" s="19"/>
      <c r="G41" s="41"/>
      <c r="H41" s="20" t="s">
        <v>118</v>
      </c>
      <c r="I41" s="68">
        <f>IF(LEN(tbl_SeqLib[[#This Row],[PCR '[DNA'] (ng / µl)]])&gt;0,1,0)</f>
        <v>0</v>
      </c>
      <c r="J41" s="68">
        <f>IF(LEN(tbl_SeqLib[[#This Row],[Sample ID]])&gt;0,1,0)</f>
        <v>0</v>
      </c>
      <c r="K41" s="68">
        <f>IF(SUMIF(tbl_SeqLib[Column],tbl_SeqLib[[#This Row],[Column]],tbl_SeqLib[DNA conc present])&gt;0,1,0)</f>
        <v>0</v>
      </c>
      <c r="L41" s="68">
        <f>IF(SUM(tbl_SeqLib[[#This Row],[DNA conc present]:[Sample ID present]])&gt;0,1,0)</f>
        <v>0</v>
      </c>
      <c r="M41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1" s="69">
        <f>ROUNDDOWN(_xlfn.MAXIFS(tbl_SeqLib[Exact],tbl_SeqLib[Column],tbl_SeqLib[[#This Row],[Column]]),1)</f>
        <v>0</v>
      </c>
      <c r="O41" s="69" t="e">
        <f>AVERAGE(tbl_SeqLib[Exact])</f>
        <v>#DIV/0!</v>
      </c>
      <c r="P41" s="69">
        <f>MAX(tbl_SeqLib[Exact])</f>
        <v>0</v>
      </c>
      <c r="Q41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1" s="37"/>
      <c r="S41" s="61" t="str">
        <f>IF(tbl_SeqLib[[#This Row],[Calculate]],SUM(endrepair_maxvol-SUM(tbl_SeqLib[[#This Row],[PCR product (µl) to add (calculated)]:[PCR product (µl) added (if different from calculated)]])),"")</f>
        <v/>
      </c>
      <c r="T41" s="63" t="str">
        <f>IF(ISBLANK(#REF!),"",CONCATENATE(exp_id,"_",tbl_SeqLib[[#This Row],[Well]]))</f>
        <v>_G5</v>
      </c>
    </row>
    <row r="42" spans="1:20" ht="15.75" customHeight="1" thickBot="1" x14ac:dyDescent="0.35">
      <c r="A42" s="30">
        <v>40</v>
      </c>
      <c r="B42" s="42" t="str">
        <f>RIGHT(tbl_SeqLib[[#This Row],[Well]],LEN(tbl_SeqLib[[#This Row],[Well]])-1)</f>
        <v>5</v>
      </c>
      <c r="C42" s="31" t="s">
        <v>119</v>
      </c>
      <c r="D42" s="31"/>
      <c r="E42" s="32"/>
      <c r="F42" s="31"/>
      <c r="G42" s="42"/>
      <c r="H42" s="32" t="s">
        <v>120</v>
      </c>
      <c r="I42" s="70">
        <f>IF(LEN(tbl_SeqLib[[#This Row],[PCR '[DNA'] (ng / µl)]])&gt;0,1,0)</f>
        <v>0</v>
      </c>
      <c r="J42" s="70">
        <f>IF(LEN(tbl_SeqLib[[#This Row],[Sample ID]])&gt;0,1,0)</f>
        <v>0</v>
      </c>
      <c r="K42" s="70">
        <f>IF(SUMIF(tbl_SeqLib[Column],tbl_SeqLib[[#This Row],[Column]],tbl_SeqLib[DNA conc present])&gt;0,1,0)</f>
        <v>0</v>
      </c>
      <c r="L42" s="70">
        <f>IF(SUM(tbl_SeqLib[[#This Row],[DNA conc present]:[Sample ID present]])&gt;0,1,0)</f>
        <v>0</v>
      </c>
      <c r="M42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2" s="71">
        <f>ROUNDDOWN(_xlfn.MAXIFS(tbl_SeqLib[Exact],tbl_SeqLib[Column],tbl_SeqLib[[#This Row],[Column]]),1)</f>
        <v>0</v>
      </c>
      <c r="O42" s="71" t="e">
        <f>AVERAGE(tbl_SeqLib[Exact])</f>
        <v>#DIV/0!</v>
      </c>
      <c r="P42" s="71">
        <f>MAX(tbl_SeqLib[Exact])</f>
        <v>0</v>
      </c>
      <c r="Q42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2" s="38"/>
      <c r="S42" s="62" t="str">
        <f>IF(tbl_SeqLib[[#This Row],[Calculate]],SUM(endrepair_maxvol-SUM(tbl_SeqLib[[#This Row],[PCR product (µl) to add (calculated)]:[PCR product (µl) added (if different from calculated)]])),"")</f>
        <v/>
      </c>
      <c r="T42" s="64" t="str">
        <f>IF(ISBLANK(#REF!),"",CONCATENATE(exp_id,"_",tbl_SeqLib[[#This Row],[Well]]))</f>
        <v>_H5</v>
      </c>
    </row>
    <row r="43" spans="1:20" ht="15.75" customHeight="1" x14ac:dyDescent="0.3">
      <c r="A43" s="26">
        <v>41</v>
      </c>
      <c r="B43" s="40" t="str">
        <f>RIGHT(tbl_SeqLib[[#This Row],[Well]],LEN(tbl_SeqLib[[#This Row],[Well]])-1)</f>
        <v>6</v>
      </c>
      <c r="C43" s="27" t="s">
        <v>121</v>
      </c>
      <c r="D43" s="27"/>
      <c r="E43" s="28"/>
      <c r="F43" s="27"/>
      <c r="G43" s="40"/>
      <c r="H43" s="28" t="s">
        <v>122</v>
      </c>
      <c r="I43" s="66">
        <f>IF(LEN(tbl_SeqLib[[#This Row],[PCR '[DNA'] (ng / µl)]])&gt;0,1,0)</f>
        <v>0</v>
      </c>
      <c r="J43" s="66">
        <f>IF(LEN(tbl_SeqLib[[#This Row],[Sample ID]])&gt;0,1,0)</f>
        <v>0</v>
      </c>
      <c r="K43" s="66">
        <f>IF(SUMIF(tbl_SeqLib[Column],tbl_SeqLib[[#This Row],[Column]],tbl_SeqLib[DNA conc present])&gt;0,1,0)</f>
        <v>0</v>
      </c>
      <c r="L43" s="66">
        <f>IF(SUM(tbl_SeqLib[[#This Row],[DNA conc present]:[Sample ID present]])&gt;0,1,0)</f>
        <v>0</v>
      </c>
      <c r="M43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3" s="67">
        <f>ROUNDDOWN(_xlfn.MAXIFS(tbl_SeqLib[Exact],tbl_SeqLib[Column],tbl_SeqLib[[#This Row],[Column]]),1)</f>
        <v>0</v>
      </c>
      <c r="O43" s="67" t="e">
        <f>AVERAGE(tbl_SeqLib[Exact])</f>
        <v>#DIV/0!</v>
      </c>
      <c r="P43" s="67">
        <f>MAX(tbl_SeqLib[Exact])</f>
        <v>0</v>
      </c>
      <c r="Q43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3" s="36"/>
      <c r="S43" s="67" t="str">
        <f>IF(tbl_SeqLib[[#This Row],[Calculate]],SUM(endrepair_maxvol-SUM(tbl_SeqLib[[#This Row],[PCR product (µl) to add (calculated)]:[PCR product (µl) added (if different from calculated)]])),"")</f>
        <v/>
      </c>
      <c r="T43" s="52" t="str">
        <f>IF(ISBLANK(#REF!),"",CONCATENATE(exp_id,"_",tbl_SeqLib[[#This Row],[Well]]))</f>
        <v>_A6</v>
      </c>
    </row>
    <row r="44" spans="1:20" ht="15.75" customHeight="1" x14ac:dyDescent="0.3">
      <c r="A44" s="29">
        <v>42</v>
      </c>
      <c r="B44" s="41" t="str">
        <f>RIGHT(tbl_SeqLib[[#This Row],[Well]],LEN(tbl_SeqLib[[#This Row],[Well]])-1)</f>
        <v>6</v>
      </c>
      <c r="C44" s="19" t="s">
        <v>123</v>
      </c>
      <c r="D44" s="19"/>
      <c r="E44" s="20"/>
      <c r="F44" s="19"/>
      <c r="G44" s="41"/>
      <c r="H44" s="20" t="s">
        <v>124</v>
      </c>
      <c r="I44" s="68">
        <f>IF(LEN(tbl_SeqLib[[#This Row],[PCR '[DNA'] (ng / µl)]])&gt;0,1,0)</f>
        <v>0</v>
      </c>
      <c r="J44" s="68">
        <f>IF(LEN(tbl_SeqLib[[#This Row],[Sample ID]])&gt;0,1,0)</f>
        <v>0</v>
      </c>
      <c r="K44" s="68">
        <f>IF(SUMIF(tbl_SeqLib[Column],tbl_SeqLib[[#This Row],[Column]],tbl_SeqLib[DNA conc present])&gt;0,1,0)</f>
        <v>0</v>
      </c>
      <c r="L44" s="68">
        <f>IF(SUM(tbl_SeqLib[[#This Row],[DNA conc present]:[Sample ID present]])&gt;0,1,0)</f>
        <v>0</v>
      </c>
      <c r="M4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4" s="69">
        <f>ROUNDDOWN(_xlfn.MAXIFS(tbl_SeqLib[Exact],tbl_SeqLib[Column],tbl_SeqLib[[#This Row],[Column]]),1)</f>
        <v>0</v>
      </c>
      <c r="O44" s="69" t="e">
        <f>AVERAGE(tbl_SeqLib[Exact])</f>
        <v>#DIV/0!</v>
      </c>
      <c r="P44" s="69">
        <f>MAX(tbl_SeqLib[Exact])</f>
        <v>0</v>
      </c>
      <c r="Q4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4" s="37"/>
      <c r="S44" s="69" t="str">
        <f>IF(tbl_SeqLib[[#This Row],[Calculate]],SUM(endrepair_maxvol-SUM(tbl_SeqLib[[#This Row],[PCR product (µl) to add (calculated)]:[PCR product (µl) added (if different from calculated)]])),"")</f>
        <v/>
      </c>
      <c r="T44" s="63" t="str">
        <f>IF(ISBLANK(#REF!),"",CONCATENATE(exp_id,"_",tbl_SeqLib[[#This Row],[Well]]))</f>
        <v>_B6</v>
      </c>
    </row>
    <row r="45" spans="1:20" ht="15.75" customHeight="1" x14ac:dyDescent="0.3">
      <c r="A45" s="29">
        <v>43</v>
      </c>
      <c r="B45" s="41" t="str">
        <f>RIGHT(tbl_SeqLib[[#This Row],[Well]],LEN(tbl_SeqLib[[#This Row],[Well]])-1)</f>
        <v>6</v>
      </c>
      <c r="C45" s="19" t="s">
        <v>125</v>
      </c>
      <c r="D45" s="19"/>
      <c r="E45" s="20"/>
      <c r="F45" s="19"/>
      <c r="G45" s="41"/>
      <c r="H45" s="20" t="s">
        <v>126</v>
      </c>
      <c r="I45" s="68">
        <f>IF(LEN(tbl_SeqLib[[#This Row],[PCR '[DNA'] (ng / µl)]])&gt;0,1,0)</f>
        <v>0</v>
      </c>
      <c r="J45" s="68">
        <f>IF(LEN(tbl_SeqLib[[#This Row],[Sample ID]])&gt;0,1,0)</f>
        <v>0</v>
      </c>
      <c r="K45" s="68">
        <f>IF(SUMIF(tbl_SeqLib[Column],tbl_SeqLib[[#This Row],[Column]],tbl_SeqLib[DNA conc present])&gt;0,1,0)</f>
        <v>0</v>
      </c>
      <c r="L45" s="68">
        <f>IF(SUM(tbl_SeqLib[[#This Row],[DNA conc present]:[Sample ID present]])&gt;0,1,0)</f>
        <v>0</v>
      </c>
      <c r="M4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5" s="69">
        <f>ROUNDDOWN(_xlfn.MAXIFS(tbl_SeqLib[Exact],tbl_SeqLib[Column],tbl_SeqLib[[#This Row],[Column]]),1)</f>
        <v>0</v>
      </c>
      <c r="O45" s="69" t="e">
        <f>AVERAGE(tbl_SeqLib[Exact])</f>
        <v>#DIV/0!</v>
      </c>
      <c r="P45" s="69">
        <f>MAX(tbl_SeqLib[Exact])</f>
        <v>0</v>
      </c>
      <c r="Q4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5" s="37"/>
      <c r="S45" s="69" t="str">
        <f>IF(tbl_SeqLib[[#This Row],[Calculate]],SUM(endrepair_maxvol-SUM(tbl_SeqLib[[#This Row],[PCR product (µl) to add (calculated)]:[PCR product (µl) added (if different from calculated)]])),"")</f>
        <v/>
      </c>
      <c r="T45" s="63" t="str">
        <f>IF(ISBLANK(#REF!),"",CONCATENATE(exp_id,"_",tbl_SeqLib[[#This Row],[Well]]))</f>
        <v>_C6</v>
      </c>
    </row>
    <row r="46" spans="1:20" ht="15.75" customHeight="1" x14ac:dyDescent="0.3">
      <c r="A46" s="29">
        <v>44</v>
      </c>
      <c r="B46" s="41" t="str">
        <f>RIGHT(tbl_SeqLib[[#This Row],[Well]],LEN(tbl_SeqLib[[#This Row],[Well]])-1)</f>
        <v>6</v>
      </c>
      <c r="C46" s="19" t="s">
        <v>127</v>
      </c>
      <c r="D46" s="19"/>
      <c r="E46" s="20"/>
      <c r="F46" s="19"/>
      <c r="G46" s="41"/>
      <c r="H46" s="20" t="s">
        <v>128</v>
      </c>
      <c r="I46" s="68">
        <f>IF(LEN(tbl_SeqLib[[#This Row],[PCR '[DNA'] (ng / µl)]])&gt;0,1,0)</f>
        <v>0</v>
      </c>
      <c r="J46" s="68">
        <f>IF(LEN(tbl_SeqLib[[#This Row],[Sample ID]])&gt;0,1,0)</f>
        <v>0</v>
      </c>
      <c r="K46" s="68">
        <f>IF(SUMIF(tbl_SeqLib[Column],tbl_SeqLib[[#This Row],[Column]],tbl_SeqLib[DNA conc present])&gt;0,1,0)</f>
        <v>0</v>
      </c>
      <c r="L46" s="68">
        <f>IF(SUM(tbl_SeqLib[[#This Row],[DNA conc present]:[Sample ID present]])&gt;0,1,0)</f>
        <v>0</v>
      </c>
      <c r="M4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6" s="69">
        <f>ROUNDDOWN(_xlfn.MAXIFS(tbl_SeqLib[Exact],tbl_SeqLib[Column],tbl_SeqLib[[#This Row],[Column]]),1)</f>
        <v>0</v>
      </c>
      <c r="O46" s="69" t="e">
        <f>AVERAGE(tbl_SeqLib[Exact])</f>
        <v>#DIV/0!</v>
      </c>
      <c r="P46" s="69">
        <f>MAX(tbl_SeqLib[Exact])</f>
        <v>0</v>
      </c>
      <c r="Q4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6" s="37"/>
      <c r="S46" s="69" t="str">
        <f>IF(tbl_SeqLib[[#This Row],[Calculate]],SUM(endrepair_maxvol-SUM(tbl_SeqLib[[#This Row],[PCR product (µl) to add (calculated)]:[PCR product (µl) added (if different from calculated)]])),"")</f>
        <v/>
      </c>
      <c r="T46" s="63" t="str">
        <f>IF(ISBLANK(#REF!),"",CONCATENATE(exp_id,"_",tbl_SeqLib[[#This Row],[Well]]))</f>
        <v>_D6</v>
      </c>
    </row>
    <row r="47" spans="1:20" ht="15.75" customHeight="1" x14ac:dyDescent="0.3">
      <c r="A47" s="29">
        <v>45</v>
      </c>
      <c r="B47" s="41" t="str">
        <f>RIGHT(tbl_SeqLib[[#This Row],[Well]],LEN(tbl_SeqLib[[#This Row],[Well]])-1)</f>
        <v>6</v>
      </c>
      <c r="C47" s="19" t="s">
        <v>129</v>
      </c>
      <c r="D47" s="19"/>
      <c r="E47" s="20"/>
      <c r="F47" s="19"/>
      <c r="G47" s="41"/>
      <c r="H47" s="20" t="s">
        <v>130</v>
      </c>
      <c r="I47" s="68">
        <f>IF(LEN(tbl_SeqLib[[#This Row],[PCR '[DNA'] (ng / µl)]])&gt;0,1,0)</f>
        <v>0</v>
      </c>
      <c r="J47" s="68">
        <f>IF(LEN(tbl_SeqLib[[#This Row],[Sample ID]])&gt;0,1,0)</f>
        <v>0</v>
      </c>
      <c r="K47" s="68">
        <f>IF(SUMIF(tbl_SeqLib[Column],tbl_SeqLib[[#This Row],[Column]],tbl_SeqLib[DNA conc present])&gt;0,1,0)</f>
        <v>0</v>
      </c>
      <c r="L47" s="68">
        <f>IF(SUM(tbl_SeqLib[[#This Row],[DNA conc present]:[Sample ID present]])&gt;0,1,0)</f>
        <v>0</v>
      </c>
      <c r="M4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7" s="69">
        <f>ROUNDDOWN(_xlfn.MAXIFS(tbl_SeqLib[Exact],tbl_SeqLib[Column],tbl_SeqLib[[#This Row],[Column]]),1)</f>
        <v>0</v>
      </c>
      <c r="O47" s="69" t="e">
        <f>AVERAGE(tbl_SeqLib[Exact])</f>
        <v>#DIV/0!</v>
      </c>
      <c r="P47" s="69">
        <f>MAX(tbl_SeqLib[Exact])</f>
        <v>0</v>
      </c>
      <c r="Q4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7" s="37"/>
      <c r="S47" s="69" t="str">
        <f>IF(tbl_SeqLib[[#This Row],[Calculate]],SUM(endrepair_maxvol-SUM(tbl_SeqLib[[#This Row],[PCR product (µl) to add (calculated)]:[PCR product (µl) added (if different from calculated)]])),"")</f>
        <v/>
      </c>
      <c r="T47" s="63" t="str">
        <f>IF(ISBLANK(#REF!),"",CONCATENATE(exp_id,"_",tbl_SeqLib[[#This Row],[Well]]))</f>
        <v>_E6</v>
      </c>
    </row>
    <row r="48" spans="1:20" ht="15.75" customHeight="1" x14ac:dyDescent="0.3">
      <c r="A48" s="29">
        <v>46</v>
      </c>
      <c r="B48" s="41" t="str">
        <f>RIGHT(tbl_SeqLib[[#This Row],[Well]],LEN(tbl_SeqLib[[#This Row],[Well]])-1)</f>
        <v>6</v>
      </c>
      <c r="C48" s="19" t="s">
        <v>131</v>
      </c>
      <c r="D48" s="19"/>
      <c r="E48" s="20"/>
      <c r="F48" s="19"/>
      <c r="G48" s="41"/>
      <c r="H48" s="20" t="s">
        <v>132</v>
      </c>
      <c r="I48" s="68">
        <f>IF(LEN(tbl_SeqLib[[#This Row],[PCR '[DNA'] (ng / µl)]])&gt;0,1,0)</f>
        <v>0</v>
      </c>
      <c r="J48" s="68">
        <f>IF(LEN(tbl_SeqLib[[#This Row],[Sample ID]])&gt;0,1,0)</f>
        <v>0</v>
      </c>
      <c r="K48" s="68">
        <f>IF(SUMIF(tbl_SeqLib[Column],tbl_SeqLib[[#This Row],[Column]],tbl_SeqLib[DNA conc present])&gt;0,1,0)</f>
        <v>0</v>
      </c>
      <c r="L48" s="68">
        <f>IF(SUM(tbl_SeqLib[[#This Row],[DNA conc present]:[Sample ID present]])&gt;0,1,0)</f>
        <v>0</v>
      </c>
      <c r="M4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8" s="69">
        <f>ROUNDDOWN(_xlfn.MAXIFS(tbl_SeqLib[Exact],tbl_SeqLib[Column],tbl_SeqLib[[#This Row],[Column]]),1)</f>
        <v>0</v>
      </c>
      <c r="O48" s="69" t="e">
        <f>AVERAGE(tbl_SeqLib[Exact])</f>
        <v>#DIV/0!</v>
      </c>
      <c r="P48" s="69">
        <f>MAX(tbl_SeqLib[Exact])</f>
        <v>0</v>
      </c>
      <c r="Q4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8" s="37"/>
      <c r="S48" s="69" t="str">
        <f>IF(tbl_SeqLib[[#This Row],[Calculate]],SUM(endrepair_maxvol-SUM(tbl_SeqLib[[#This Row],[PCR product (µl) to add (calculated)]:[PCR product (µl) added (if different from calculated)]])),"")</f>
        <v/>
      </c>
      <c r="T48" s="63" t="str">
        <f>IF(ISBLANK(#REF!),"",CONCATENATE(exp_id,"_",tbl_SeqLib[[#This Row],[Well]]))</f>
        <v>_F6</v>
      </c>
    </row>
    <row r="49" spans="1:20" ht="15.75" customHeight="1" x14ac:dyDescent="0.3">
      <c r="A49" s="29">
        <v>47</v>
      </c>
      <c r="B49" s="41" t="str">
        <f>RIGHT(tbl_SeqLib[[#This Row],[Well]],LEN(tbl_SeqLib[[#This Row],[Well]])-1)</f>
        <v>6</v>
      </c>
      <c r="C49" s="19" t="s">
        <v>133</v>
      </c>
      <c r="D49" s="19"/>
      <c r="E49" s="20"/>
      <c r="F49" s="19"/>
      <c r="G49" s="41"/>
      <c r="H49" s="20" t="s">
        <v>134</v>
      </c>
      <c r="I49" s="68">
        <f>IF(LEN(tbl_SeqLib[[#This Row],[PCR '[DNA'] (ng / µl)]])&gt;0,1,0)</f>
        <v>0</v>
      </c>
      <c r="J49" s="68">
        <f>IF(LEN(tbl_SeqLib[[#This Row],[Sample ID]])&gt;0,1,0)</f>
        <v>0</v>
      </c>
      <c r="K49" s="68">
        <f>IF(SUMIF(tbl_SeqLib[Column],tbl_SeqLib[[#This Row],[Column]],tbl_SeqLib[DNA conc present])&gt;0,1,0)</f>
        <v>0</v>
      </c>
      <c r="L49" s="68">
        <f>IF(SUM(tbl_SeqLib[[#This Row],[DNA conc present]:[Sample ID present]])&gt;0,1,0)</f>
        <v>0</v>
      </c>
      <c r="M4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49" s="69">
        <f>ROUNDDOWN(_xlfn.MAXIFS(tbl_SeqLib[Exact],tbl_SeqLib[Column],tbl_SeqLib[[#This Row],[Column]]),1)</f>
        <v>0</v>
      </c>
      <c r="O49" s="69" t="e">
        <f>AVERAGE(tbl_SeqLib[Exact])</f>
        <v>#DIV/0!</v>
      </c>
      <c r="P49" s="69">
        <f>MAX(tbl_SeqLib[Exact])</f>
        <v>0</v>
      </c>
      <c r="Q4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49" s="37"/>
      <c r="S49" s="69" t="str">
        <f>IF(tbl_SeqLib[[#This Row],[Calculate]],SUM(endrepair_maxvol-SUM(tbl_SeqLib[[#This Row],[PCR product (µl) to add (calculated)]:[PCR product (µl) added (if different from calculated)]])),"")</f>
        <v/>
      </c>
      <c r="T49" s="63" t="str">
        <f>IF(ISBLANK(#REF!),"",CONCATENATE(exp_id,"_",tbl_SeqLib[[#This Row],[Well]]))</f>
        <v>_G6</v>
      </c>
    </row>
    <row r="50" spans="1:20" ht="15.75" customHeight="1" thickBot="1" x14ac:dyDescent="0.35">
      <c r="A50" s="30">
        <v>48</v>
      </c>
      <c r="B50" s="42" t="str">
        <f>RIGHT(tbl_SeqLib[[#This Row],[Well]],LEN(tbl_SeqLib[[#This Row],[Well]])-1)</f>
        <v>6</v>
      </c>
      <c r="C50" s="31" t="s">
        <v>135</v>
      </c>
      <c r="D50" s="31"/>
      <c r="E50" s="32"/>
      <c r="F50" s="31"/>
      <c r="G50" s="42"/>
      <c r="H50" s="32" t="s">
        <v>136</v>
      </c>
      <c r="I50" s="70">
        <f>IF(LEN(tbl_SeqLib[[#This Row],[PCR '[DNA'] (ng / µl)]])&gt;0,1,0)</f>
        <v>0</v>
      </c>
      <c r="J50" s="70">
        <f>IF(LEN(tbl_SeqLib[[#This Row],[Sample ID]])&gt;0,1,0)</f>
        <v>0</v>
      </c>
      <c r="K50" s="70">
        <f>IF(SUMIF(tbl_SeqLib[Column],tbl_SeqLib[[#This Row],[Column]],tbl_SeqLib[DNA conc present])&gt;0,1,0)</f>
        <v>0</v>
      </c>
      <c r="L50" s="70">
        <f>IF(SUM(tbl_SeqLib[[#This Row],[DNA conc present]:[Sample ID present]])&gt;0,1,0)</f>
        <v>0</v>
      </c>
      <c r="M50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0" s="71">
        <f>ROUNDDOWN(_xlfn.MAXIFS(tbl_SeqLib[Exact],tbl_SeqLib[Column],tbl_SeqLib[[#This Row],[Column]]),1)</f>
        <v>0</v>
      </c>
      <c r="O50" s="71" t="e">
        <f>AVERAGE(tbl_SeqLib[Exact])</f>
        <v>#DIV/0!</v>
      </c>
      <c r="P50" s="71">
        <f>MAX(tbl_SeqLib[Exact])</f>
        <v>0</v>
      </c>
      <c r="Q50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0" s="38"/>
      <c r="S50" s="71" t="str">
        <f>IF(tbl_SeqLib[[#This Row],[Calculate]],SUM(endrepair_maxvol-SUM(tbl_SeqLib[[#This Row],[PCR product (µl) to add (calculated)]:[PCR product (µl) added (if different from calculated)]])),"")</f>
        <v/>
      </c>
      <c r="T50" s="64" t="str">
        <f>IF(ISBLANK(#REF!),"",CONCATENATE(exp_id,"_",tbl_SeqLib[[#This Row],[Well]]))</f>
        <v>_H6</v>
      </c>
    </row>
    <row r="51" spans="1:20" ht="15.75" customHeight="1" x14ac:dyDescent="0.3">
      <c r="A51" s="26">
        <v>49</v>
      </c>
      <c r="B51" s="40" t="str">
        <f>RIGHT(tbl_SeqLib[[#This Row],[Well]],LEN(tbl_SeqLib[[#This Row],[Well]])-1)</f>
        <v>7</v>
      </c>
      <c r="C51" s="27" t="s">
        <v>137</v>
      </c>
      <c r="D51" s="27"/>
      <c r="E51" s="28"/>
      <c r="F51" s="27"/>
      <c r="G51" s="40"/>
      <c r="H51" s="28" t="s">
        <v>138</v>
      </c>
      <c r="I51" s="66">
        <f>IF(LEN(tbl_SeqLib[[#This Row],[PCR '[DNA'] (ng / µl)]])&gt;0,1,0)</f>
        <v>0</v>
      </c>
      <c r="J51" s="66">
        <f>IF(LEN(tbl_SeqLib[[#This Row],[Sample ID]])&gt;0,1,0)</f>
        <v>0</v>
      </c>
      <c r="K51" s="66">
        <f>IF(SUMIF(tbl_SeqLib[Column],tbl_SeqLib[[#This Row],[Column]],tbl_SeqLib[DNA conc present])&gt;0,1,0)</f>
        <v>0</v>
      </c>
      <c r="L51" s="66">
        <f>IF(SUM(tbl_SeqLib[[#This Row],[DNA conc present]:[Sample ID present]])&gt;0,1,0)</f>
        <v>0</v>
      </c>
      <c r="M51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1" s="67">
        <f>ROUNDDOWN(_xlfn.MAXIFS(tbl_SeqLib[Exact],tbl_SeqLib[Column],tbl_SeqLib[[#This Row],[Column]]),1)</f>
        <v>0</v>
      </c>
      <c r="O51" s="67" t="e">
        <f>AVERAGE(tbl_SeqLib[Exact])</f>
        <v>#DIV/0!</v>
      </c>
      <c r="P51" s="67">
        <f>MAX(tbl_SeqLib[Exact])</f>
        <v>0</v>
      </c>
      <c r="Q51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1" s="36"/>
      <c r="S51" s="60" t="str">
        <f>IF(tbl_SeqLib[[#This Row],[Calculate]],SUM(endrepair_maxvol-SUM(tbl_SeqLib[[#This Row],[PCR product (µl) to add (calculated)]:[PCR product (µl) added (if different from calculated)]])),"")</f>
        <v/>
      </c>
      <c r="T51" s="63" t="str">
        <f>IF(ISBLANK(#REF!),"",CONCATENATE(exp_id,"_",tbl_SeqLib[[#This Row],[Well]]))</f>
        <v>_A7</v>
      </c>
    </row>
    <row r="52" spans="1:20" ht="15.75" customHeight="1" x14ac:dyDescent="0.3">
      <c r="A52" s="29">
        <v>50</v>
      </c>
      <c r="B52" s="41" t="str">
        <f>RIGHT(tbl_SeqLib[[#This Row],[Well]],LEN(tbl_SeqLib[[#This Row],[Well]])-1)</f>
        <v>7</v>
      </c>
      <c r="C52" s="19" t="s">
        <v>139</v>
      </c>
      <c r="D52" s="19"/>
      <c r="E52" s="20"/>
      <c r="F52" s="19"/>
      <c r="G52" s="41"/>
      <c r="H52" s="20" t="s">
        <v>140</v>
      </c>
      <c r="I52" s="68">
        <f>IF(LEN(tbl_SeqLib[[#This Row],[PCR '[DNA'] (ng / µl)]])&gt;0,1,0)</f>
        <v>0</v>
      </c>
      <c r="J52" s="68">
        <f>IF(LEN(tbl_SeqLib[[#This Row],[Sample ID]])&gt;0,1,0)</f>
        <v>0</v>
      </c>
      <c r="K52" s="68">
        <f>IF(SUMIF(tbl_SeqLib[Column],tbl_SeqLib[[#This Row],[Column]],tbl_SeqLib[DNA conc present])&gt;0,1,0)</f>
        <v>0</v>
      </c>
      <c r="L52" s="68">
        <f>IF(SUM(tbl_SeqLib[[#This Row],[DNA conc present]:[Sample ID present]])&gt;0,1,0)</f>
        <v>0</v>
      </c>
      <c r="M5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2" s="69">
        <f>ROUNDDOWN(_xlfn.MAXIFS(tbl_SeqLib[Exact],tbl_SeqLib[Column],tbl_SeqLib[[#This Row],[Column]]),1)</f>
        <v>0</v>
      </c>
      <c r="O52" s="69" t="e">
        <f>AVERAGE(tbl_SeqLib[Exact])</f>
        <v>#DIV/0!</v>
      </c>
      <c r="P52" s="69">
        <f>MAX(tbl_SeqLib[Exact])</f>
        <v>0</v>
      </c>
      <c r="Q5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2" s="37"/>
      <c r="S52" s="61" t="str">
        <f>IF(tbl_SeqLib[[#This Row],[Calculate]],SUM(endrepair_maxvol-SUM(tbl_SeqLib[[#This Row],[PCR product (µl) to add (calculated)]:[PCR product (µl) added (if different from calculated)]])),"")</f>
        <v/>
      </c>
      <c r="T52" s="63" t="str">
        <f>IF(ISBLANK(#REF!),"",CONCATENATE(exp_id,"_",tbl_SeqLib[[#This Row],[Well]]))</f>
        <v>_B7</v>
      </c>
    </row>
    <row r="53" spans="1:20" ht="15.75" customHeight="1" x14ac:dyDescent="0.3">
      <c r="A53" s="29">
        <v>51</v>
      </c>
      <c r="B53" s="41" t="str">
        <f>RIGHT(tbl_SeqLib[[#This Row],[Well]],LEN(tbl_SeqLib[[#This Row],[Well]])-1)</f>
        <v>7</v>
      </c>
      <c r="C53" s="19" t="s">
        <v>141</v>
      </c>
      <c r="D53" s="19"/>
      <c r="E53" s="20"/>
      <c r="F53" s="19"/>
      <c r="G53" s="41"/>
      <c r="H53" s="20" t="s">
        <v>142</v>
      </c>
      <c r="I53" s="68">
        <f>IF(LEN(tbl_SeqLib[[#This Row],[PCR '[DNA'] (ng / µl)]])&gt;0,1,0)</f>
        <v>0</v>
      </c>
      <c r="J53" s="68">
        <f>IF(LEN(tbl_SeqLib[[#This Row],[Sample ID]])&gt;0,1,0)</f>
        <v>0</v>
      </c>
      <c r="K53" s="68">
        <f>IF(SUMIF(tbl_SeqLib[Column],tbl_SeqLib[[#This Row],[Column]],tbl_SeqLib[DNA conc present])&gt;0,1,0)</f>
        <v>0</v>
      </c>
      <c r="L53" s="68">
        <f>IF(SUM(tbl_SeqLib[[#This Row],[DNA conc present]:[Sample ID present]])&gt;0,1,0)</f>
        <v>0</v>
      </c>
      <c r="M5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3" s="69">
        <f>ROUNDDOWN(_xlfn.MAXIFS(tbl_SeqLib[Exact],tbl_SeqLib[Column],tbl_SeqLib[[#This Row],[Column]]),1)</f>
        <v>0</v>
      </c>
      <c r="O53" s="69" t="e">
        <f>AVERAGE(tbl_SeqLib[Exact])</f>
        <v>#DIV/0!</v>
      </c>
      <c r="P53" s="69">
        <f>MAX(tbl_SeqLib[Exact])</f>
        <v>0</v>
      </c>
      <c r="Q5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3" s="37"/>
      <c r="S53" s="61" t="str">
        <f>IF(tbl_SeqLib[[#This Row],[Calculate]],SUM(endrepair_maxvol-SUM(tbl_SeqLib[[#This Row],[PCR product (µl) to add (calculated)]:[PCR product (µl) added (if different from calculated)]])),"")</f>
        <v/>
      </c>
      <c r="T53" s="63" t="str">
        <f>IF(ISBLANK(#REF!),"",CONCATENATE(exp_id,"_",tbl_SeqLib[[#This Row],[Well]]))</f>
        <v>_C7</v>
      </c>
    </row>
    <row r="54" spans="1:20" ht="15.75" customHeight="1" x14ac:dyDescent="0.3">
      <c r="A54" s="29">
        <v>52</v>
      </c>
      <c r="B54" s="41" t="str">
        <f>RIGHT(tbl_SeqLib[[#This Row],[Well]],LEN(tbl_SeqLib[[#This Row],[Well]])-1)</f>
        <v>7</v>
      </c>
      <c r="C54" s="19" t="s">
        <v>143</v>
      </c>
      <c r="D54" s="19"/>
      <c r="E54" s="20"/>
      <c r="F54" s="19"/>
      <c r="G54" s="41"/>
      <c r="H54" s="20" t="s">
        <v>144</v>
      </c>
      <c r="I54" s="68">
        <f>IF(LEN(tbl_SeqLib[[#This Row],[PCR '[DNA'] (ng / µl)]])&gt;0,1,0)</f>
        <v>0</v>
      </c>
      <c r="J54" s="68">
        <f>IF(LEN(tbl_SeqLib[[#This Row],[Sample ID]])&gt;0,1,0)</f>
        <v>0</v>
      </c>
      <c r="K54" s="68">
        <f>IF(SUMIF(tbl_SeqLib[Column],tbl_SeqLib[[#This Row],[Column]],tbl_SeqLib[DNA conc present])&gt;0,1,0)</f>
        <v>0</v>
      </c>
      <c r="L54" s="68">
        <f>IF(SUM(tbl_SeqLib[[#This Row],[DNA conc present]:[Sample ID present]])&gt;0,1,0)</f>
        <v>0</v>
      </c>
      <c r="M5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4" s="69">
        <f>ROUNDDOWN(_xlfn.MAXIFS(tbl_SeqLib[Exact],tbl_SeqLib[Column],tbl_SeqLib[[#This Row],[Column]]),1)</f>
        <v>0</v>
      </c>
      <c r="O54" s="69" t="e">
        <f>AVERAGE(tbl_SeqLib[Exact])</f>
        <v>#DIV/0!</v>
      </c>
      <c r="P54" s="69">
        <f>MAX(tbl_SeqLib[Exact])</f>
        <v>0</v>
      </c>
      <c r="Q5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4" s="37"/>
      <c r="S54" s="61" t="str">
        <f>IF(tbl_SeqLib[[#This Row],[Calculate]],SUM(endrepair_maxvol-SUM(tbl_SeqLib[[#This Row],[PCR product (µl) to add (calculated)]:[PCR product (µl) added (if different from calculated)]])),"")</f>
        <v/>
      </c>
      <c r="T54" s="63" t="str">
        <f>IF(ISBLANK(#REF!),"",CONCATENATE(exp_id,"_",tbl_SeqLib[[#This Row],[Well]]))</f>
        <v>_D7</v>
      </c>
    </row>
    <row r="55" spans="1:20" ht="15.75" customHeight="1" x14ac:dyDescent="0.3">
      <c r="A55" s="29">
        <v>53</v>
      </c>
      <c r="B55" s="41" t="str">
        <f>RIGHT(tbl_SeqLib[[#This Row],[Well]],LEN(tbl_SeqLib[[#This Row],[Well]])-1)</f>
        <v>7</v>
      </c>
      <c r="C55" s="19" t="s">
        <v>145</v>
      </c>
      <c r="D55" s="19"/>
      <c r="E55" s="20"/>
      <c r="F55" s="19"/>
      <c r="G55" s="41"/>
      <c r="H55" s="20" t="s">
        <v>146</v>
      </c>
      <c r="I55" s="68">
        <f>IF(LEN(tbl_SeqLib[[#This Row],[PCR '[DNA'] (ng / µl)]])&gt;0,1,0)</f>
        <v>0</v>
      </c>
      <c r="J55" s="68">
        <f>IF(LEN(tbl_SeqLib[[#This Row],[Sample ID]])&gt;0,1,0)</f>
        <v>0</v>
      </c>
      <c r="K55" s="68">
        <f>IF(SUMIF(tbl_SeqLib[Column],tbl_SeqLib[[#This Row],[Column]],tbl_SeqLib[DNA conc present])&gt;0,1,0)</f>
        <v>0</v>
      </c>
      <c r="L55" s="68">
        <f>IF(SUM(tbl_SeqLib[[#This Row],[DNA conc present]:[Sample ID present]])&gt;0,1,0)</f>
        <v>0</v>
      </c>
      <c r="M5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5" s="69">
        <f>ROUNDDOWN(_xlfn.MAXIFS(tbl_SeqLib[Exact],tbl_SeqLib[Column],tbl_SeqLib[[#This Row],[Column]]),1)</f>
        <v>0</v>
      </c>
      <c r="O55" s="69" t="e">
        <f>AVERAGE(tbl_SeqLib[Exact])</f>
        <v>#DIV/0!</v>
      </c>
      <c r="P55" s="69">
        <f>MAX(tbl_SeqLib[Exact])</f>
        <v>0</v>
      </c>
      <c r="Q5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5" s="37"/>
      <c r="S55" s="61" t="str">
        <f>IF(tbl_SeqLib[[#This Row],[Calculate]],SUM(endrepair_maxvol-SUM(tbl_SeqLib[[#This Row],[PCR product (µl) to add (calculated)]:[PCR product (µl) added (if different from calculated)]])),"")</f>
        <v/>
      </c>
      <c r="T55" s="63" t="str">
        <f>IF(ISBLANK(#REF!),"",CONCATENATE(exp_id,"_",tbl_SeqLib[[#This Row],[Well]]))</f>
        <v>_E7</v>
      </c>
    </row>
    <row r="56" spans="1:20" ht="15.75" customHeight="1" x14ac:dyDescent="0.3">
      <c r="A56" s="29">
        <v>54</v>
      </c>
      <c r="B56" s="41" t="str">
        <f>RIGHT(tbl_SeqLib[[#This Row],[Well]],LEN(tbl_SeqLib[[#This Row],[Well]])-1)</f>
        <v>7</v>
      </c>
      <c r="C56" s="19" t="s">
        <v>147</v>
      </c>
      <c r="D56" s="19"/>
      <c r="E56" s="20"/>
      <c r="F56" s="19"/>
      <c r="G56" s="41"/>
      <c r="H56" s="20" t="s">
        <v>148</v>
      </c>
      <c r="I56" s="68">
        <f>IF(LEN(tbl_SeqLib[[#This Row],[PCR '[DNA'] (ng / µl)]])&gt;0,1,0)</f>
        <v>0</v>
      </c>
      <c r="J56" s="68">
        <f>IF(LEN(tbl_SeqLib[[#This Row],[Sample ID]])&gt;0,1,0)</f>
        <v>0</v>
      </c>
      <c r="K56" s="68">
        <f>IF(SUMIF(tbl_SeqLib[Column],tbl_SeqLib[[#This Row],[Column]],tbl_SeqLib[DNA conc present])&gt;0,1,0)</f>
        <v>0</v>
      </c>
      <c r="L56" s="68">
        <f>IF(SUM(tbl_SeqLib[[#This Row],[DNA conc present]:[Sample ID present]])&gt;0,1,0)</f>
        <v>0</v>
      </c>
      <c r="M5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6" s="69">
        <f>ROUNDDOWN(_xlfn.MAXIFS(tbl_SeqLib[Exact],tbl_SeqLib[Column],tbl_SeqLib[[#This Row],[Column]]),1)</f>
        <v>0</v>
      </c>
      <c r="O56" s="69" t="e">
        <f>AVERAGE(tbl_SeqLib[Exact])</f>
        <v>#DIV/0!</v>
      </c>
      <c r="P56" s="69">
        <f>MAX(tbl_SeqLib[Exact])</f>
        <v>0</v>
      </c>
      <c r="Q5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6" s="37"/>
      <c r="S56" s="61" t="str">
        <f>IF(tbl_SeqLib[[#This Row],[Calculate]],SUM(endrepair_maxvol-SUM(tbl_SeqLib[[#This Row],[PCR product (µl) to add (calculated)]:[PCR product (µl) added (if different from calculated)]])),"")</f>
        <v/>
      </c>
      <c r="T56" s="63" t="str">
        <f>IF(ISBLANK(#REF!),"",CONCATENATE(exp_id,"_",tbl_SeqLib[[#This Row],[Well]]))</f>
        <v>_F7</v>
      </c>
    </row>
    <row r="57" spans="1:20" ht="15.75" customHeight="1" x14ac:dyDescent="0.3">
      <c r="A57" s="29">
        <v>55</v>
      </c>
      <c r="B57" s="41" t="str">
        <f>RIGHT(tbl_SeqLib[[#This Row],[Well]],LEN(tbl_SeqLib[[#This Row],[Well]])-1)</f>
        <v>7</v>
      </c>
      <c r="C57" s="19" t="s">
        <v>149</v>
      </c>
      <c r="D57" s="19"/>
      <c r="E57" s="20"/>
      <c r="F57" s="19"/>
      <c r="G57" s="41"/>
      <c r="H57" s="20" t="s">
        <v>150</v>
      </c>
      <c r="I57" s="68">
        <f>IF(LEN(tbl_SeqLib[[#This Row],[PCR '[DNA'] (ng / µl)]])&gt;0,1,0)</f>
        <v>0</v>
      </c>
      <c r="J57" s="68">
        <f>IF(LEN(tbl_SeqLib[[#This Row],[Sample ID]])&gt;0,1,0)</f>
        <v>0</v>
      </c>
      <c r="K57" s="68">
        <f>IF(SUMIF(tbl_SeqLib[Column],tbl_SeqLib[[#This Row],[Column]],tbl_SeqLib[DNA conc present])&gt;0,1,0)</f>
        <v>0</v>
      </c>
      <c r="L57" s="68">
        <f>IF(SUM(tbl_SeqLib[[#This Row],[DNA conc present]:[Sample ID present]])&gt;0,1,0)</f>
        <v>0</v>
      </c>
      <c r="M5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7" s="69">
        <f>ROUNDDOWN(_xlfn.MAXIFS(tbl_SeqLib[Exact],tbl_SeqLib[Column],tbl_SeqLib[[#This Row],[Column]]),1)</f>
        <v>0</v>
      </c>
      <c r="O57" s="69" t="e">
        <f>AVERAGE(tbl_SeqLib[Exact])</f>
        <v>#DIV/0!</v>
      </c>
      <c r="P57" s="69">
        <f>MAX(tbl_SeqLib[Exact])</f>
        <v>0</v>
      </c>
      <c r="Q5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7" s="37"/>
      <c r="S57" s="61" t="str">
        <f>IF(tbl_SeqLib[[#This Row],[Calculate]],SUM(endrepair_maxvol-SUM(tbl_SeqLib[[#This Row],[PCR product (µl) to add (calculated)]:[PCR product (µl) added (if different from calculated)]])),"")</f>
        <v/>
      </c>
      <c r="T57" s="63" t="str">
        <f>IF(ISBLANK(#REF!),"",CONCATENATE(exp_id,"_",tbl_SeqLib[[#This Row],[Well]]))</f>
        <v>_G7</v>
      </c>
    </row>
    <row r="58" spans="1:20" ht="15.75" customHeight="1" thickBot="1" x14ac:dyDescent="0.35">
      <c r="A58" s="30">
        <v>56</v>
      </c>
      <c r="B58" s="42" t="str">
        <f>RIGHT(tbl_SeqLib[[#This Row],[Well]],LEN(tbl_SeqLib[[#This Row],[Well]])-1)</f>
        <v>7</v>
      </c>
      <c r="C58" s="31" t="s">
        <v>151</v>
      </c>
      <c r="D58" s="31"/>
      <c r="E58" s="32"/>
      <c r="F58" s="31"/>
      <c r="G58" s="42"/>
      <c r="H58" s="32" t="s">
        <v>152</v>
      </c>
      <c r="I58" s="70">
        <f>IF(LEN(tbl_SeqLib[[#This Row],[PCR '[DNA'] (ng / µl)]])&gt;0,1,0)</f>
        <v>0</v>
      </c>
      <c r="J58" s="70">
        <f>IF(LEN(tbl_SeqLib[[#This Row],[Sample ID]])&gt;0,1,0)</f>
        <v>0</v>
      </c>
      <c r="K58" s="70">
        <f>IF(SUMIF(tbl_SeqLib[Column],tbl_SeqLib[[#This Row],[Column]],tbl_SeqLib[DNA conc present])&gt;0,1,0)</f>
        <v>0</v>
      </c>
      <c r="L58" s="70">
        <f>IF(SUM(tbl_SeqLib[[#This Row],[DNA conc present]:[Sample ID present]])&gt;0,1,0)</f>
        <v>0</v>
      </c>
      <c r="M58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8" s="71">
        <f>ROUNDDOWN(_xlfn.MAXIFS(tbl_SeqLib[Exact],tbl_SeqLib[Column],tbl_SeqLib[[#This Row],[Column]]),1)</f>
        <v>0</v>
      </c>
      <c r="O58" s="71" t="e">
        <f>AVERAGE(tbl_SeqLib[Exact])</f>
        <v>#DIV/0!</v>
      </c>
      <c r="P58" s="71">
        <f>MAX(tbl_SeqLib[Exact])</f>
        <v>0</v>
      </c>
      <c r="Q58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8" s="38"/>
      <c r="S58" s="62" t="str">
        <f>IF(tbl_SeqLib[[#This Row],[Calculate]],SUM(endrepair_maxvol-SUM(tbl_SeqLib[[#This Row],[PCR product (µl) to add (calculated)]:[PCR product (µl) added (if different from calculated)]])),"")</f>
        <v/>
      </c>
      <c r="T58" s="64" t="str">
        <f>IF(ISBLANK(#REF!),"",CONCATENATE(exp_id,"_",tbl_SeqLib[[#This Row],[Well]]))</f>
        <v>_H7</v>
      </c>
    </row>
    <row r="59" spans="1:20" ht="15.75" customHeight="1" x14ac:dyDescent="0.3">
      <c r="A59" s="26">
        <v>57</v>
      </c>
      <c r="B59" s="40" t="str">
        <f>RIGHT(tbl_SeqLib[[#This Row],[Well]],LEN(tbl_SeqLib[[#This Row],[Well]])-1)</f>
        <v>8</v>
      </c>
      <c r="C59" s="27" t="s">
        <v>153</v>
      </c>
      <c r="D59" s="27"/>
      <c r="E59" s="28"/>
      <c r="F59" s="27"/>
      <c r="G59" s="40"/>
      <c r="H59" s="28" t="s">
        <v>154</v>
      </c>
      <c r="I59" s="66">
        <f>IF(LEN(tbl_SeqLib[[#This Row],[PCR '[DNA'] (ng / µl)]])&gt;0,1,0)</f>
        <v>0</v>
      </c>
      <c r="J59" s="66">
        <f>IF(LEN(tbl_SeqLib[[#This Row],[Sample ID]])&gt;0,1,0)</f>
        <v>0</v>
      </c>
      <c r="K59" s="66">
        <f>IF(SUMIF(tbl_SeqLib[Column],tbl_SeqLib[[#This Row],[Column]],tbl_SeqLib[DNA conc present])&gt;0,1,0)</f>
        <v>0</v>
      </c>
      <c r="L59" s="66">
        <f>IF(SUM(tbl_SeqLib[[#This Row],[DNA conc present]:[Sample ID present]])&gt;0,1,0)</f>
        <v>0</v>
      </c>
      <c r="M59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59" s="67">
        <f>ROUNDDOWN(_xlfn.MAXIFS(tbl_SeqLib[Exact],tbl_SeqLib[Column],tbl_SeqLib[[#This Row],[Column]]),1)</f>
        <v>0</v>
      </c>
      <c r="O59" s="67" t="e">
        <f>AVERAGE(tbl_SeqLib[Exact])</f>
        <v>#DIV/0!</v>
      </c>
      <c r="P59" s="67">
        <f>MAX(tbl_SeqLib[Exact])</f>
        <v>0</v>
      </c>
      <c r="Q59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59" s="36"/>
      <c r="S59" s="60" t="str">
        <f>IF(tbl_SeqLib[[#This Row],[Calculate]],SUM(endrepair_maxvol-SUM(tbl_SeqLib[[#This Row],[PCR product (µl) to add (calculated)]:[PCR product (µl) added (if different from calculated)]])),"")</f>
        <v/>
      </c>
      <c r="T59" s="52" t="str">
        <f>IF(ISBLANK(#REF!),"",CONCATENATE(exp_id,"_",tbl_SeqLib[[#This Row],[Well]]))</f>
        <v>_A8</v>
      </c>
    </row>
    <row r="60" spans="1:20" ht="15.75" customHeight="1" x14ac:dyDescent="0.3">
      <c r="A60" s="29">
        <v>58</v>
      </c>
      <c r="B60" s="41" t="str">
        <f>RIGHT(tbl_SeqLib[[#This Row],[Well]],LEN(tbl_SeqLib[[#This Row],[Well]])-1)</f>
        <v>8</v>
      </c>
      <c r="C60" s="19" t="s">
        <v>155</v>
      </c>
      <c r="D60" s="19"/>
      <c r="E60" s="20"/>
      <c r="F60" s="19"/>
      <c r="G60" s="41"/>
      <c r="H60" s="20" t="s">
        <v>156</v>
      </c>
      <c r="I60" s="68">
        <f>IF(LEN(tbl_SeqLib[[#This Row],[PCR '[DNA'] (ng / µl)]])&gt;0,1,0)</f>
        <v>0</v>
      </c>
      <c r="J60" s="68">
        <f>IF(LEN(tbl_SeqLib[[#This Row],[Sample ID]])&gt;0,1,0)</f>
        <v>0</v>
      </c>
      <c r="K60" s="68">
        <f>IF(SUMIF(tbl_SeqLib[Column],tbl_SeqLib[[#This Row],[Column]],tbl_SeqLib[DNA conc present])&gt;0,1,0)</f>
        <v>0</v>
      </c>
      <c r="L60" s="68">
        <f>IF(SUM(tbl_SeqLib[[#This Row],[DNA conc present]:[Sample ID present]])&gt;0,1,0)</f>
        <v>0</v>
      </c>
      <c r="M60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0" s="69">
        <f>ROUNDDOWN(_xlfn.MAXIFS(tbl_SeqLib[Exact],tbl_SeqLib[Column],tbl_SeqLib[[#This Row],[Column]]),1)</f>
        <v>0</v>
      </c>
      <c r="O60" s="69" t="e">
        <f>AVERAGE(tbl_SeqLib[Exact])</f>
        <v>#DIV/0!</v>
      </c>
      <c r="P60" s="69">
        <f>MAX(tbl_SeqLib[Exact])</f>
        <v>0</v>
      </c>
      <c r="Q60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0" s="37"/>
      <c r="S60" s="61" t="str">
        <f>IF(tbl_SeqLib[[#This Row],[Calculate]],SUM(endrepair_maxvol-SUM(tbl_SeqLib[[#This Row],[PCR product (µl) to add (calculated)]:[PCR product (µl) added (if different from calculated)]])),"")</f>
        <v/>
      </c>
      <c r="T60" s="63" t="str">
        <f>IF(ISBLANK(#REF!),"",CONCATENATE(exp_id,"_",tbl_SeqLib[[#This Row],[Well]]))</f>
        <v>_B8</v>
      </c>
    </row>
    <row r="61" spans="1:20" ht="15.75" customHeight="1" x14ac:dyDescent="0.3">
      <c r="A61" s="29">
        <v>59</v>
      </c>
      <c r="B61" s="41" t="str">
        <f>RIGHT(tbl_SeqLib[[#This Row],[Well]],LEN(tbl_SeqLib[[#This Row],[Well]])-1)</f>
        <v>8</v>
      </c>
      <c r="C61" s="19" t="s">
        <v>157</v>
      </c>
      <c r="D61" s="19"/>
      <c r="E61" s="20"/>
      <c r="F61" s="19"/>
      <c r="G61" s="41"/>
      <c r="H61" s="20" t="s">
        <v>158</v>
      </c>
      <c r="I61" s="68">
        <f>IF(LEN(tbl_SeqLib[[#This Row],[PCR '[DNA'] (ng / µl)]])&gt;0,1,0)</f>
        <v>0</v>
      </c>
      <c r="J61" s="68">
        <f>IF(LEN(tbl_SeqLib[[#This Row],[Sample ID]])&gt;0,1,0)</f>
        <v>0</v>
      </c>
      <c r="K61" s="68">
        <f>IF(SUMIF(tbl_SeqLib[Column],tbl_SeqLib[[#This Row],[Column]],tbl_SeqLib[DNA conc present])&gt;0,1,0)</f>
        <v>0</v>
      </c>
      <c r="L61" s="68">
        <f>IF(SUM(tbl_SeqLib[[#This Row],[DNA conc present]:[Sample ID present]])&gt;0,1,0)</f>
        <v>0</v>
      </c>
      <c r="M61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1" s="69">
        <f>ROUNDDOWN(_xlfn.MAXIFS(tbl_SeqLib[Exact],tbl_SeqLib[Column],tbl_SeqLib[[#This Row],[Column]]),1)</f>
        <v>0</v>
      </c>
      <c r="O61" s="69" t="e">
        <f>AVERAGE(tbl_SeqLib[Exact])</f>
        <v>#DIV/0!</v>
      </c>
      <c r="P61" s="69">
        <f>MAX(tbl_SeqLib[Exact])</f>
        <v>0</v>
      </c>
      <c r="Q61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1" s="37"/>
      <c r="S61" s="61" t="str">
        <f>IF(tbl_SeqLib[[#This Row],[Calculate]],SUM(endrepair_maxvol-SUM(tbl_SeqLib[[#This Row],[PCR product (µl) to add (calculated)]:[PCR product (µl) added (if different from calculated)]])),"")</f>
        <v/>
      </c>
      <c r="T61" s="63" t="str">
        <f>IF(ISBLANK(#REF!),"",CONCATENATE(exp_id,"_",tbl_SeqLib[[#This Row],[Well]]))</f>
        <v>_C8</v>
      </c>
    </row>
    <row r="62" spans="1:20" ht="15.75" customHeight="1" x14ac:dyDescent="0.3">
      <c r="A62" s="29">
        <v>60</v>
      </c>
      <c r="B62" s="41" t="str">
        <f>RIGHT(tbl_SeqLib[[#This Row],[Well]],LEN(tbl_SeqLib[[#This Row],[Well]])-1)</f>
        <v>8</v>
      </c>
      <c r="C62" s="19" t="s">
        <v>159</v>
      </c>
      <c r="D62" s="19"/>
      <c r="E62" s="20"/>
      <c r="F62" s="19"/>
      <c r="G62" s="41"/>
      <c r="H62" s="20" t="s">
        <v>160</v>
      </c>
      <c r="I62" s="68">
        <f>IF(LEN(tbl_SeqLib[[#This Row],[PCR '[DNA'] (ng / µl)]])&gt;0,1,0)</f>
        <v>0</v>
      </c>
      <c r="J62" s="68">
        <f>IF(LEN(tbl_SeqLib[[#This Row],[Sample ID]])&gt;0,1,0)</f>
        <v>0</v>
      </c>
      <c r="K62" s="68">
        <f>IF(SUMIF(tbl_SeqLib[Column],tbl_SeqLib[[#This Row],[Column]],tbl_SeqLib[DNA conc present])&gt;0,1,0)</f>
        <v>0</v>
      </c>
      <c r="L62" s="68">
        <f>IF(SUM(tbl_SeqLib[[#This Row],[DNA conc present]:[Sample ID present]])&gt;0,1,0)</f>
        <v>0</v>
      </c>
      <c r="M6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2" s="69">
        <f>ROUNDDOWN(_xlfn.MAXIFS(tbl_SeqLib[Exact],tbl_SeqLib[Column],tbl_SeqLib[[#This Row],[Column]]),1)</f>
        <v>0</v>
      </c>
      <c r="O62" s="69" t="e">
        <f>AVERAGE(tbl_SeqLib[Exact])</f>
        <v>#DIV/0!</v>
      </c>
      <c r="P62" s="69">
        <f>MAX(tbl_SeqLib[Exact])</f>
        <v>0</v>
      </c>
      <c r="Q6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2" s="37"/>
      <c r="S62" s="61" t="str">
        <f>IF(tbl_SeqLib[[#This Row],[Calculate]],SUM(endrepair_maxvol-SUM(tbl_SeqLib[[#This Row],[PCR product (µl) to add (calculated)]:[PCR product (µl) added (if different from calculated)]])),"")</f>
        <v/>
      </c>
      <c r="T62" s="63" t="str">
        <f>IF(ISBLANK(#REF!),"",CONCATENATE(exp_id,"_",tbl_SeqLib[[#This Row],[Well]]))</f>
        <v>_D8</v>
      </c>
    </row>
    <row r="63" spans="1:20" ht="15.75" customHeight="1" x14ac:dyDescent="0.3">
      <c r="A63" s="29">
        <v>61</v>
      </c>
      <c r="B63" s="41" t="str">
        <f>RIGHT(tbl_SeqLib[[#This Row],[Well]],LEN(tbl_SeqLib[[#This Row],[Well]])-1)</f>
        <v>8</v>
      </c>
      <c r="C63" s="19" t="s">
        <v>161</v>
      </c>
      <c r="D63" s="19"/>
      <c r="E63" s="20"/>
      <c r="F63" s="19"/>
      <c r="G63" s="41"/>
      <c r="H63" s="20" t="s">
        <v>162</v>
      </c>
      <c r="I63" s="68">
        <f>IF(LEN(tbl_SeqLib[[#This Row],[PCR '[DNA'] (ng / µl)]])&gt;0,1,0)</f>
        <v>0</v>
      </c>
      <c r="J63" s="68">
        <f>IF(LEN(tbl_SeqLib[[#This Row],[Sample ID]])&gt;0,1,0)</f>
        <v>0</v>
      </c>
      <c r="K63" s="68">
        <f>IF(SUMIF(tbl_SeqLib[Column],tbl_SeqLib[[#This Row],[Column]],tbl_SeqLib[DNA conc present])&gt;0,1,0)</f>
        <v>0</v>
      </c>
      <c r="L63" s="68">
        <f>IF(SUM(tbl_SeqLib[[#This Row],[DNA conc present]:[Sample ID present]])&gt;0,1,0)</f>
        <v>0</v>
      </c>
      <c r="M6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3" s="69">
        <f>ROUNDDOWN(_xlfn.MAXIFS(tbl_SeqLib[Exact],tbl_SeqLib[Column],tbl_SeqLib[[#This Row],[Column]]),1)</f>
        <v>0</v>
      </c>
      <c r="O63" s="69" t="e">
        <f>AVERAGE(tbl_SeqLib[Exact])</f>
        <v>#DIV/0!</v>
      </c>
      <c r="P63" s="69">
        <f>MAX(tbl_SeqLib[Exact])</f>
        <v>0</v>
      </c>
      <c r="Q6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3" s="37"/>
      <c r="S63" s="61" t="str">
        <f>IF(tbl_SeqLib[[#This Row],[Calculate]],SUM(endrepair_maxvol-SUM(tbl_SeqLib[[#This Row],[PCR product (µl) to add (calculated)]:[PCR product (µl) added (if different from calculated)]])),"")</f>
        <v/>
      </c>
      <c r="T63" s="63" t="str">
        <f>IF(ISBLANK(#REF!),"",CONCATENATE(exp_id,"_",tbl_SeqLib[[#This Row],[Well]]))</f>
        <v>_E8</v>
      </c>
    </row>
    <row r="64" spans="1:20" ht="15.75" customHeight="1" x14ac:dyDescent="0.3">
      <c r="A64" s="29">
        <v>62</v>
      </c>
      <c r="B64" s="41" t="str">
        <f>RIGHT(tbl_SeqLib[[#This Row],[Well]],LEN(tbl_SeqLib[[#This Row],[Well]])-1)</f>
        <v>8</v>
      </c>
      <c r="C64" s="19" t="s">
        <v>163</v>
      </c>
      <c r="D64" s="19"/>
      <c r="E64" s="20"/>
      <c r="F64" s="19"/>
      <c r="G64" s="41"/>
      <c r="H64" s="20" t="s">
        <v>164</v>
      </c>
      <c r="I64" s="68">
        <f>IF(LEN(tbl_SeqLib[[#This Row],[PCR '[DNA'] (ng / µl)]])&gt;0,1,0)</f>
        <v>0</v>
      </c>
      <c r="J64" s="68">
        <f>IF(LEN(tbl_SeqLib[[#This Row],[Sample ID]])&gt;0,1,0)</f>
        <v>0</v>
      </c>
      <c r="K64" s="68">
        <f>IF(SUMIF(tbl_SeqLib[Column],tbl_SeqLib[[#This Row],[Column]],tbl_SeqLib[DNA conc present])&gt;0,1,0)</f>
        <v>0</v>
      </c>
      <c r="L64" s="68">
        <f>IF(SUM(tbl_SeqLib[[#This Row],[DNA conc present]:[Sample ID present]])&gt;0,1,0)</f>
        <v>0</v>
      </c>
      <c r="M6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4" s="69">
        <f>ROUNDDOWN(_xlfn.MAXIFS(tbl_SeqLib[Exact],tbl_SeqLib[Column],tbl_SeqLib[[#This Row],[Column]]),1)</f>
        <v>0</v>
      </c>
      <c r="O64" s="69" t="e">
        <f>AVERAGE(tbl_SeqLib[Exact])</f>
        <v>#DIV/0!</v>
      </c>
      <c r="P64" s="69">
        <f>MAX(tbl_SeqLib[Exact])</f>
        <v>0</v>
      </c>
      <c r="Q6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4" s="37"/>
      <c r="S64" s="61" t="str">
        <f>IF(tbl_SeqLib[[#This Row],[Calculate]],SUM(endrepair_maxvol-SUM(tbl_SeqLib[[#This Row],[PCR product (µl) to add (calculated)]:[PCR product (µl) added (if different from calculated)]])),"")</f>
        <v/>
      </c>
      <c r="T64" s="63" t="str">
        <f>IF(ISBLANK(#REF!),"",CONCATENATE(exp_id,"_",tbl_SeqLib[[#This Row],[Well]]))</f>
        <v>_F8</v>
      </c>
    </row>
    <row r="65" spans="1:20" ht="15.75" customHeight="1" x14ac:dyDescent="0.3">
      <c r="A65" s="29">
        <v>63</v>
      </c>
      <c r="B65" s="41" t="str">
        <f>RIGHT(tbl_SeqLib[[#This Row],[Well]],LEN(tbl_SeqLib[[#This Row],[Well]])-1)</f>
        <v>8</v>
      </c>
      <c r="C65" s="19" t="s">
        <v>165</v>
      </c>
      <c r="D65" s="19"/>
      <c r="E65" s="20"/>
      <c r="F65" s="19"/>
      <c r="G65" s="41"/>
      <c r="H65" s="20" t="s">
        <v>166</v>
      </c>
      <c r="I65" s="68">
        <f>IF(LEN(tbl_SeqLib[[#This Row],[PCR '[DNA'] (ng / µl)]])&gt;0,1,0)</f>
        <v>0</v>
      </c>
      <c r="J65" s="68">
        <f>IF(LEN(tbl_SeqLib[[#This Row],[Sample ID]])&gt;0,1,0)</f>
        <v>0</v>
      </c>
      <c r="K65" s="68">
        <f>IF(SUMIF(tbl_SeqLib[Column],tbl_SeqLib[[#This Row],[Column]],tbl_SeqLib[DNA conc present])&gt;0,1,0)</f>
        <v>0</v>
      </c>
      <c r="L65" s="68">
        <f>IF(SUM(tbl_SeqLib[[#This Row],[DNA conc present]:[Sample ID present]])&gt;0,1,0)</f>
        <v>0</v>
      </c>
      <c r="M6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5" s="69">
        <f>ROUNDDOWN(_xlfn.MAXIFS(tbl_SeqLib[Exact],tbl_SeqLib[Column],tbl_SeqLib[[#This Row],[Column]]),1)</f>
        <v>0</v>
      </c>
      <c r="O65" s="69" t="e">
        <f>AVERAGE(tbl_SeqLib[Exact])</f>
        <v>#DIV/0!</v>
      </c>
      <c r="P65" s="69">
        <f>MAX(tbl_SeqLib[Exact])</f>
        <v>0</v>
      </c>
      <c r="Q6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5" s="37"/>
      <c r="S65" s="61" t="str">
        <f>IF(tbl_SeqLib[[#This Row],[Calculate]],SUM(endrepair_maxvol-SUM(tbl_SeqLib[[#This Row],[PCR product (µl) to add (calculated)]:[PCR product (µl) added (if different from calculated)]])),"")</f>
        <v/>
      </c>
      <c r="T65" s="63" t="str">
        <f>IF(ISBLANK(#REF!),"",CONCATENATE(exp_id,"_",tbl_SeqLib[[#This Row],[Well]]))</f>
        <v>_G8</v>
      </c>
    </row>
    <row r="66" spans="1:20" ht="15.75" customHeight="1" thickBot="1" x14ac:dyDescent="0.35">
      <c r="A66" s="30">
        <v>64</v>
      </c>
      <c r="B66" s="42" t="str">
        <f>RIGHT(tbl_SeqLib[[#This Row],[Well]],LEN(tbl_SeqLib[[#This Row],[Well]])-1)</f>
        <v>8</v>
      </c>
      <c r="C66" s="31" t="s">
        <v>167</v>
      </c>
      <c r="D66" s="31"/>
      <c r="E66" s="32"/>
      <c r="F66" s="31"/>
      <c r="G66" s="42"/>
      <c r="H66" s="32" t="s">
        <v>168</v>
      </c>
      <c r="I66" s="70">
        <f>IF(LEN(tbl_SeqLib[[#This Row],[PCR '[DNA'] (ng / µl)]])&gt;0,1,0)</f>
        <v>0</v>
      </c>
      <c r="J66" s="70">
        <f>IF(LEN(tbl_SeqLib[[#This Row],[Sample ID]])&gt;0,1,0)</f>
        <v>0</v>
      </c>
      <c r="K66" s="70">
        <f>IF(SUMIF(tbl_SeqLib[Column],tbl_SeqLib[[#This Row],[Column]],tbl_SeqLib[DNA conc present])&gt;0,1,0)</f>
        <v>0</v>
      </c>
      <c r="L66" s="70">
        <f>IF(SUM(tbl_SeqLib[[#This Row],[DNA conc present]:[Sample ID present]])&gt;0,1,0)</f>
        <v>0</v>
      </c>
      <c r="M66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6" s="71">
        <f>ROUNDDOWN(_xlfn.MAXIFS(tbl_SeqLib[Exact],tbl_SeqLib[Column],tbl_SeqLib[[#This Row],[Column]]),1)</f>
        <v>0</v>
      </c>
      <c r="O66" s="71" t="e">
        <f>AVERAGE(tbl_SeqLib[Exact])</f>
        <v>#DIV/0!</v>
      </c>
      <c r="P66" s="71">
        <f>MAX(tbl_SeqLib[Exact])</f>
        <v>0</v>
      </c>
      <c r="Q66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6" s="38"/>
      <c r="S66" s="62" t="str">
        <f>IF(tbl_SeqLib[[#This Row],[Calculate]],SUM(endrepair_maxvol-SUM(tbl_SeqLib[[#This Row],[PCR product (µl) to add (calculated)]:[PCR product (µl) added (if different from calculated)]])),"")</f>
        <v/>
      </c>
      <c r="T66" s="64" t="str">
        <f>IF(ISBLANK(#REF!),"",CONCATENATE(exp_id,"_",tbl_SeqLib[[#This Row],[Well]]))</f>
        <v>_H8</v>
      </c>
    </row>
    <row r="67" spans="1:20" ht="15.75" customHeight="1" x14ac:dyDescent="0.3">
      <c r="A67" s="26">
        <v>65</v>
      </c>
      <c r="B67" s="40" t="str">
        <f>RIGHT(tbl_SeqLib[[#This Row],[Well]],LEN(tbl_SeqLib[[#This Row],[Well]])-1)</f>
        <v>9</v>
      </c>
      <c r="C67" s="27" t="s">
        <v>169</v>
      </c>
      <c r="D67" s="27"/>
      <c r="E67" s="28"/>
      <c r="F67" s="27"/>
      <c r="G67" s="40"/>
      <c r="H67" s="28" t="s">
        <v>170</v>
      </c>
      <c r="I67" s="66">
        <f>IF(LEN(tbl_SeqLib[[#This Row],[PCR '[DNA'] (ng / µl)]])&gt;0,1,0)</f>
        <v>0</v>
      </c>
      <c r="J67" s="66">
        <f>IF(LEN(tbl_SeqLib[[#This Row],[Sample ID]])&gt;0,1,0)</f>
        <v>0</v>
      </c>
      <c r="K67" s="66">
        <f>IF(SUMIF(tbl_SeqLib[Column],tbl_SeqLib[[#This Row],[Column]],tbl_SeqLib[DNA conc present])&gt;0,1,0)</f>
        <v>0</v>
      </c>
      <c r="L67" s="66">
        <f>IF(SUM(tbl_SeqLib[[#This Row],[DNA conc present]:[Sample ID present]])&gt;0,1,0)</f>
        <v>0</v>
      </c>
      <c r="M67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7" s="67">
        <f>ROUNDDOWN(_xlfn.MAXIFS(tbl_SeqLib[Exact],tbl_SeqLib[Column],tbl_SeqLib[[#This Row],[Column]]),1)</f>
        <v>0</v>
      </c>
      <c r="O67" s="67" t="e">
        <f>AVERAGE(tbl_SeqLib[Exact])</f>
        <v>#DIV/0!</v>
      </c>
      <c r="P67" s="67">
        <f>MAX(tbl_SeqLib[Exact])</f>
        <v>0</v>
      </c>
      <c r="Q67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7" s="36"/>
      <c r="S67" s="60" t="str">
        <f>IF(tbl_SeqLib[[#This Row],[Calculate]],SUM(endrepair_maxvol-SUM(tbl_SeqLib[[#This Row],[PCR product (µl) to add (calculated)]:[PCR product (µl) added (if different from calculated)]])),"")</f>
        <v/>
      </c>
      <c r="T67" s="52" t="str">
        <f>IF(ISBLANK(#REF!),"",CONCATENATE(exp_id,"_",tbl_SeqLib[[#This Row],[Well]]))</f>
        <v>_A9</v>
      </c>
    </row>
    <row r="68" spans="1:20" ht="15.75" customHeight="1" x14ac:dyDescent="0.3">
      <c r="A68" s="29">
        <v>66</v>
      </c>
      <c r="B68" s="41" t="str">
        <f>RIGHT(tbl_SeqLib[[#This Row],[Well]],LEN(tbl_SeqLib[[#This Row],[Well]])-1)</f>
        <v>9</v>
      </c>
      <c r="C68" s="19" t="s">
        <v>171</v>
      </c>
      <c r="D68" s="19"/>
      <c r="E68" s="20"/>
      <c r="F68" s="19"/>
      <c r="G68" s="41"/>
      <c r="H68" s="20" t="s">
        <v>172</v>
      </c>
      <c r="I68" s="68">
        <f>IF(LEN(tbl_SeqLib[[#This Row],[PCR '[DNA'] (ng / µl)]])&gt;0,1,0)</f>
        <v>0</v>
      </c>
      <c r="J68" s="68">
        <f>IF(LEN(tbl_SeqLib[[#This Row],[Sample ID]])&gt;0,1,0)</f>
        <v>0</v>
      </c>
      <c r="K68" s="68">
        <f>IF(SUMIF(tbl_SeqLib[Column],tbl_SeqLib[[#This Row],[Column]],tbl_SeqLib[DNA conc present])&gt;0,1,0)</f>
        <v>0</v>
      </c>
      <c r="L68" s="68">
        <f>IF(SUM(tbl_SeqLib[[#This Row],[DNA conc present]:[Sample ID present]])&gt;0,1,0)</f>
        <v>0</v>
      </c>
      <c r="M6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8" s="69">
        <f>ROUNDDOWN(_xlfn.MAXIFS(tbl_SeqLib[Exact],tbl_SeqLib[Column],tbl_SeqLib[[#This Row],[Column]]),1)</f>
        <v>0</v>
      </c>
      <c r="O68" s="69" t="e">
        <f>AVERAGE(tbl_SeqLib[Exact])</f>
        <v>#DIV/0!</v>
      </c>
      <c r="P68" s="69">
        <f>MAX(tbl_SeqLib[Exact])</f>
        <v>0</v>
      </c>
      <c r="Q6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8" s="37"/>
      <c r="S68" s="61" t="str">
        <f>IF(tbl_SeqLib[[#This Row],[Calculate]],SUM(endrepair_maxvol-SUM(tbl_SeqLib[[#This Row],[PCR product (µl) to add (calculated)]:[PCR product (µl) added (if different from calculated)]])),"")</f>
        <v/>
      </c>
      <c r="T68" s="63" t="str">
        <f>IF(ISBLANK(#REF!),"",CONCATENATE(exp_id,"_",tbl_SeqLib[[#This Row],[Well]]))</f>
        <v>_B9</v>
      </c>
    </row>
    <row r="69" spans="1:20" ht="15.75" customHeight="1" x14ac:dyDescent="0.3">
      <c r="A69" s="29">
        <v>67</v>
      </c>
      <c r="B69" s="41" t="str">
        <f>RIGHT(tbl_SeqLib[[#This Row],[Well]],LEN(tbl_SeqLib[[#This Row],[Well]])-1)</f>
        <v>9</v>
      </c>
      <c r="C69" s="19" t="s">
        <v>173</v>
      </c>
      <c r="D69" s="19"/>
      <c r="E69" s="20"/>
      <c r="F69" s="19"/>
      <c r="G69" s="41"/>
      <c r="H69" s="20" t="s">
        <v>174</v>
      </c>
      <c r="I69" s="68">
        <f>IF(LEN(tbl_SeqLib[[#This Row],[PCR '[DNA'] (ng / µl)]])&gt;0,1,0)</f>
        <v>0</v>
      </c>
      <c r="J69" s="68">
        <f>IF(LEN(tbl_SeqLib[[#This Row],[Sample ID]])&gt;0,1,0)</f>
        <v>0</v>
      </c>
      <c r="K69" s="68">
        <f>IF(SUMIF(tbl_SeqLib[Column],tbl_SeqLib[[#This Row],[Column]],tbl_SeqLib[DNA conc present])&gt;0,1,0)</f>
        <v>0</v>
      </c>
      <c r="L69" s="68">
        <f>IF(SUM(tbl_SeqLib[[#This Row],[DNA conc present]:[Sample ID present]])&gt;0,1,0)</f>
        <v>0</v>
      </c>
      <c r="M6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69" s="69">
        <f>ROUNDDOWN(_xlfn.MAXIFS(tbl_SeqLib[Exact],tbl_SeqLib[Column],tbl_SeqLib[[#This Row],[Column]]),1)</f>
        <v>0</v>
      </c>
      <c r="O69" s="69" t="e">
        <f>AVERAGE(tbl_SeqLib[Exact])</f>
        <v>#DIV/0!</v>
      </c>
      <c r="P69" s="69">
        <f>MAX(tbl_SeqLib[Exact])</f>
        <v>0</v>
      </c>
      <c r="Q6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69" s="37"/>
      <c r="S69" s="61" t="str">
        <f>IF(tbl_SeqLib[[#This Row],[Calculate]],SUM(endrepair_maxvol-SUM(tbl_SeqLib[[#This Row],[PCR product (µl) to add (calculated)]:[PCR product (µl) added (if different from calculated)]])),"")</f>
        <v/>
      </c>
      <c r="T69" s="63" t="str">
        <f>IF(ISBLANK(#REF!),"",CONCATENATE(exp_id,"_",tbl_SeqLib[[#This Row],[Well]]))</f>
        <v>_C9</v>
      </c>
    </row>
    <row r="70" spans="1:20" ht="15.75" customHeight="1" x14ac:dyDescent="0.3">
      <c r="A70" s="29">
        <v>68</v>
      </c>
      <c r="B70" s="41" t="str">
        <f>RIGHT(tbl_SeqLib[[#This Row],[Well]],LEN(tbl_SeqLib[[#This Row],[Well]])-1)</f>
        <v>9</v>
      </c>
      <c r="C70" s="19" t="s">
        <v>175</v>
      </c>
      <c r="D70" s="19"/>
      <c r="E70" s="20"/>
      <c r="F70" s="19"/>
      <c r="G70" s="41"/>
      <c r="H70" s="20" t="s">
        <v>176</v>
      </c>
      <c r="I70" s="68">
        <f>IF(LEN(tbl_SeqLib[[#This Row],[PCR '[DNA'] (ng / µl)]])&gt;0,1,0)</f>
        <v>0</v>
      </c>
      <c r="J70" s="68">
        <f>IF(LEN(tbl_SeqLib[[#This Row],[Sample ID]])&gt;0,1,0)</f>
        <v>0</v>
      </c>
      <c r="K70" s="68">
        <f>IF(SUMIF(tbl_SeqLib[Column],tbl_SeqLib[[#This Row],[Column]],tbl_SeqLib[DNA conc present])&gt;0,1,0)</f>
        <v>0</v>
      </c>
      <c r="L70" s="68">
        <f>IF(SUM(tbl_SeqLib[[#This Row],[DNA conc present]:[Sample ID present]])&gt;0,1,0)</f>
        <v>0</v>
      </c>
      <c r="M70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0" s="69">
        <f>ROUNDDOWN(_xlfn.MAXIFS(tbl_SeqLib[Exact],tbl_SeqLib[Column],tbl_SeqLib[[#This Row],[Column]]),1)</f>
        <v>0</v>
      </c>
      <c r="O70" s="69" t="e">
        <f>AVERAGE(tbl_SeqLib[Exact])</f>
        <v>#DIV/0!</v>
      </c>
      <c r="P70" s="69">
        <f>MAX(tbl_SeqLib[Exact])</f>
        <v>0</v>
      </c>
      <c r="Q70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0" s="37"/>
      <c r="S70" s="61" t="str">
        <f>IF(tbl_SeqLib[[#This Row],[Calculate]],SUM(endrepair_maxvol-SUM(tbl_SeqLib[[#This Row],[PCR product (µl) to add (calculated)]:[PCR product (µl) added (if different from calculated)]])),"")</f>
        <v/>
      </c>
      <c r="T70" s="63" t="str">
        <f>IF(ISBLANK(#REF!),"",CONCATENATE(exp_id,"_",tbl_SeqLib[[#This Row],[Well]]))</f>
        <v>_D9</v>
      </c>
    </row>
    <row r="71" spans="1:20" ht="15.75" customHeight="1" x14ac:dyDescent="0.3">
      <c r="A71" s="29">
        <v>69</v>
      </c>
      <c r="B71" s="41" t="str">
        <f>RIGHT(tbl_SeqLib[[#This Row],[Well]],LEN(tbl_SeqLib[[#This Row],[Well]])-1)</f>
        <v>9</v>
      </c>
      <c r="C71" s="19" t="s">
        <v>177</v>
      </c>
      <c r="D71" s="19"/>
      <c r="E71" s="20"/>
      <c r="F71" s="19"/>
      <c r="G71" s="41"/>
      <c r="H71" s="20" t="s">
        <v>178</v>
      </c>
      <c r="I71" s="68">
        <f>IF(LEN(tbl_SeqLib[[#This Row],[PCR '[DNA'] (ng / µl)]])&gt;0,1,0)</f>
        <v>0</v>
      </c>
      <c r="J71" s="68">
        <f>IF(LEN(tbl_SeqLib[[#This Row],[Sample ID]])&gt;0,1,0)</f>
        <v>0</v>
      </c>
      <c r="K71" s="68">
        <f>IF(SUMIF(tbl_SeqLib[Column],tbl_SeqLib[[#This Row],[Column]],tbl_SeqLib[DNA conc present])&gt;0,1,0)</f>
        <v>0</v>
      </c>
      <c r="L71" s="68">
        <f>IF(SUM(tbl_SeqLib[[#This Row],[DNA conc present]:[Sample ID present]])&gt;0,1,0)</f>
        <v>0</v>
      </c>
      <c r="M71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1" s="69">
        <f>ROUNDDOWN(_xlfn.MAXIFS(tbl_SeqLib[Exact],tbl_SeqLib[Column],tbl_SeqLib[[#This Row],[Column]]),1)</f>
        <v>0</v>
      </c>
      <c r="O71" s="69" t="e">
        <f>AVERAGE(tbl_SeqLib[Exact])</f>
        <v>#DIV/0!</v>
      </c>
      <c r="P71" s="69">
        <f>MAX(tbl_SeqLib[Exact])</f>
        <v>0</v>
      </c>
      <c r="Q71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1" s="37"/>
      <c r="S71" s="61" t="str">
        <f>IF(tbl_SeqLib[[#This Row],[Calculate]],SUM(endrepair_maxvol-SUM(tbl_SeqLib[[#This Row],[PCR product (µl) to add (calculated)]:[PCR product (µl) added (if different from calculated)]])),"")</f>
        <v/>
      </c>
      <c r="T71" s="63" t="str">
        <f>IF(ISBLANK(#REF!),"",CONCATENATE(exp_id,"_",tbl_SeqLib[[#This Row],[Well]]))</f>
        <v>_E9</v>
      </c>
    </row>
    <row r="72" spans="1:20" ht="15.75" customHeight="1" x14ac:dyDescent="0.3">
      <c r="A72" s="29">
        <v>70</v>
      </c>
      <c r="B72" s="41" t="str">
        <f>RIGHT(tbl_SeqLib[[#This Row],[Well]],LEN(tbl_SeqLib[[#This Row],[Well]])-1)</f>
        <v>9</v>
      </c>
      <c r="C72" s="19" t="s">
        <v>179</v>
      </c>
      <c r="D72" s="19"/>
      <c r="E72" s="20"/>
      <c r="F72" s="19"/>
      <c r="G72" s="41"/>
      <c r="H72" s="20" t="s">
        <v>180</v>
      </c>
      <c r="I72" s="68">
        <f>IF(LEN(tbl_SeqLib[[#This Row],[PCR '[DNA'] (ng / µl)]])&gt;0,1,0)</f>
        <v>0</v>
      </c>
      <c r="J72" s="68">
        <f>IF(LEN(tbl_SeqLib[[#This Row],[Sample ID]])&gt;0,1,0)</f>
        <v>0</v>
      </c>
      <c r="K72" s="68">
        <f>IF(SUMIF(tbl_SeqLib[Column],tbl_SeqLib[[#This Row],[Column]],tbl_SeqLib[DNA conc present])&gt;0,1,0)</f>
        <v>0</v>
      </c>
      <c r="L72" s="68">
        <f>IF(SUM(tbl_SeqLib[[#This Row],[DNA conc present]:[Sample ID present]])&gt;0,1,0)</f>
        <v>0</v>
      </c>
      <c r="M7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2" s="69">
        <f>ROUNDDOWN(_xlfn.MAXIFS(tbl_SeqLib[Exact],tbl_SeqLib[Column],tbl_SeqLib[[#This Row],[Column]]),1)</f>
        <v>0</v>
      </c>
      <c r="O72" s="69" t="e">
        <f>AVERAGE(tbl_SeqLib[Exact])</f>
        <v>#DIV/0!</v>
      </c>
      <c r="P72" s="69">
        <f>MAX(tbl_SeqLib[Exact])</f>
        <v>0</v>
      </c>
      <c r="Q7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2" s="37"/>
      <c r="S72" s="61" t="str">
        <f>IF(tbl_SeqLib[[#This Row],[Calculate]],SUM(endrepair_maxvol-SUM(tbl_SeqLib[[#This Row],[PCR product (µl) to add (calculated)]:[PCR product (µl) added (if different from calculated)]])),"")</f>
        <v/>
      </c>
      <c r="T72" s="63" t="str">
        <f>IF(ISBLANK(#REF!),"",CONCATENATE(exp_id,"_",tbl_SeqLib[[#This Row],[Well]]))</f>
        <v>_F9</v>
      </c>
    </row>
    <row r="73" spans="1:20" ht="15.75" customHeight="1" x14ac:dyDescent="0.3">
      <c r="A73" s="29">
        <v>71</v>
      </c>
      <c r="B73" s="41" t="str">
        <f>RIGHT(tbl_SeqLib[[#This Row],[Well]],LEN(tbl_SeqLib[[#This Row],[Well]])-1)</f>
        <v>9</v>
      </c>
      <c r="C73" s="19" t="s">
        <v>181</v>
      </c>
      <c r="D73" s="19"/>
      <c r="E73" s="20"/>
      <c r="F73" s="19"/>
      <c r="G73" s="41"/>
      <c r="H73" s="20" t="s">
        <v>182</v>
      </c>
      <c r="I73" s="68">
        <f>IF(LEN(tbl_SeqLib[[#This Row],[PCR '[DNA'] (ng / µl)]])&gt;0,1,0)</f>
        <v>0</v>
      </c>
      <c r="J73" s="68">
        <f>IF(LEN(tbl_SeqLib[[#This Row],[Sample ID]])&gt;0,1,0)</f>
        <v>0</v>
      </c>
      <c r="K73" s="68">
        <f>IF(SUMIF(tbl_SeqLib[Column],tbl_SeqLib[[#This Row],[Column]],tbl_SeqLib[DNA conc present])&gt;0,1,0)</f>
        <v>0</v>
      </c>
      <c r="L73" s="68">
        <f>IF(SUM(tbl_SeqLib[[#This Row],[DNA conc present]:[Sample ID present]])&gt;0,1,0)</f>
        <v>0</v>
      </c>
      <c r="M7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3" s="69">
        <f>ROUNDDOWN(_xlfn.MAXIFS(tbl_SeqLib[Exact],tbl_SeqLib[Column],tbl_SeqLib[[#This Row],[Column]]),1)</f>
        <v>0</v>
      </c>
      <c r="O73" s="69" t="e">
        <f>AVERAGE(tbl_SeqLib[Exact])</f>
        <v>#DIV/0!</v>
      </c>
      <c r="P73" s="69">
        <f>MAX(tbl_SeqLib[Exact])</f>
        <v>0</v>
      </c>
      <c r="Q7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3" s="37"/>
      <c r="S73" s="61" t="str">
        <f>IF(tbl_SeqLib[[#This Row],[Calculate]],SUM(endrepair_maxvol-SUM(tbl_SeqLib[[#This Row],[PCR product (µl) to add (calculated)]:[PCR product (µl) added (if different from calculated)]])),"")</f>
        <v/>
      </c>
      <c r="T73" s="63" t="str">
        <f>IF(ISBLANK(#REF!),"",CONCATENATE(exp_id,"_",tbl_SeqLib[[#This Row],[Well]]))</f>
        <v>_G9</v>
      </c>
    </row>
    <row r="74" spans="1:20" ht="15.75" customHeight="1" thickBot="1" x14ac:dyDescent="0.35">
      <c r="A74" s="30">
        <v>72</v>
      </c>
      <c r="B74" s="42" t="str">
        <f>RIGHT(tbl_SeqLib[[#This Row],[Well]],LEN(tbl_SeqLib[[#This Row],[Well]])-1)</f>
        <v>9</v>
      </c>
      <c r="C74" s="31" t="s">
        <v>183</v>
      </c>
      <c r="D74" s="31"/>
      <c r="E74" s="32"/>
      <c r="F74" s="31"/>
      <c r="G74" s="42"/>
      <c r="H74" s="32" t="s">
        <v>184</v>
      </c>
      <c r="I74" s="70">
        <f>IF(LEN(tbl_SeqLib[[#This Row],[PCR '[DNA'] (ng / µl)]])&gt;0,1,0)</f>
        <v>0</v>
      </c>
      <c r="J74" s="70">
        <f>IF(LEN(tbl_SeqLib[[#This Row],[Sample ID]])&gt;0,1,0)</f>
        <v>0</v>
      </c>
      <c r="K74" s="70">
        <f>IF(SUMIF(tbl_SeqLib[Column],tbl_SeqLib[[#This Row],[Column]],tbl_SeqLib[DNA conc present])&gt;0,1,0)</f>
        <v>0</v>
      </c>
      <c r="L74" s="70">
        <f>IF(SUM(tbl_SeqLib[[#This Row],[DNA conc present]:[Sample ID present]])&gt;0,1,0)</f>
        <v>0</v>
      </c>
      <c r="M74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4" s="71">
        <f>ROUNDDOWN(_xlfn.MAXIFS(tbl_SeqLib[Exact],tbl_SeqLib[Column],tbl_SeqLib[[#This Row],[Column]]),1)</f>
        <v>0</v>
      </c>
      <c r="O74" s="71" t="e">
        <f>AVERAGE(tbl_SeqLib[Exact])</f>
        <v>#DIV/0!</v>
      </c>
      <c r="P74" s="71">
        <f>MAX(tbl_SeqLib[Exact])</f>
        <v>0</v>
      </c>
      <c r="Q74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4" s="38"/>
      <c r="S74" s="62" t="str">
        <f>IF(tbl_SeqLib[[#This Row],[Calculate]],SUM(endrepair_maxvol-SUM(tbl_SeqLib[[#This Row],[PCR product (µl) to add (calculated)]:[PCR product (µl) added (if different from calculated)]])),"")</f>
        <v/>
      </c>
      <c r="T74" s="64" t="str">
        <f>IF(ISBLANK(#REF!),"",CONCATENATE(exp_id,"_",tbl_SeqLib[[#This Row],[Well]]))</f>
        <v>_H9</v>
      </c>
    </row>
    <row r="75" spans="1:20" ht="15.75" customHeight="1" x14ac:dyDescent="0.3">
      <c r="A75" s="26">
        <v>73</v>
      </c>
      <c r="B75" s="40" t="str">
        <f>RIGHT(tbl_SeqLib[[#This Row],[Well]],LEN(tbl_SeqLib[[#This Row],[Well]])-1)</f>
        <v>10</v>
      </c>
      <c r="C75" s="27" t="s">
        <v>185</v>
      </c>
      <c r="D75" s="27"/>
      <c r="E75" s="28"/>
      <c r="F75" s="27"/>
      <c r="G75" s="40"/>
      <c r="H75" s="28" t="s">
        <v>186</v>
      </c>
      <c r="I75" s="66">
        <f>IF(LEN(tbl_SeqLib[[#This Row],[PCR '[DNA'] (ng / µl)]])&gt;0,1,0)</f>
        <v>0</v>
      </c>
      <c r="J75" s="66">
        <f>IF(LEN(tbl_SeqLib[[#This Row],[Sample ID]])&gt;0,1,0)</f>
        <v>0</v>
      </c>
      <c r="K75" s="66">
        <f>IF(SUMIF(tbl_SeqLib[Column],tbl_SeqLib[[#This Row],[Column]],tbl_SeqLib[DNA conc present])&gt;0,1,0)</f>
        <v>0</v>
      </c>
      <c r="L75" s="66">
        <f>IF(SUM(tbl_SeqLib[[#This Row],[DNA conc present]:[Sample ID present]])&gt;0,1,0)</f>
        <v>0</v>
      </c>
      <c r="M75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5" s="67">
        <f>ROUNDDOWN(_xlfn.MAXIFS(tbl_SeqLib[Exact],tbl_SeqLib[Column],tbl_SeqLib[[#This Row],[Column]]),1)</f>
        <v>0</v>
      </c>
      <c r="O75" s="67" t="e">
        <f>AVERAGE(tbl_SeqLib[Exact])</f>
        <v>#DIV/0!</v>
      </c>
      <c r="P75" s="67">
        <f>MAX(tbl_SeqLib[Exact])</f>
        <v>0</v>
      </c>
      <c r="Q75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5" s="36"/>
      <c r="S75" s="60" t="str">
        <f>IF(tbl_SeqLib[[#This Row],[Calculate]],SUM(endrepair_maxvol-SUM(tbl_SeqLib[[#This Row],[PCR product (µl) to add (calculated)]:[PCR product (µl) added (if different from calculated)]])),"")</f>
        <v/>
      </c>
      <c r="T75" s="52" t="str">
        <f>IF(ISBLANK(#REF!),"",CONCATENATE(exp_id,"_",tbl_SeqLib[[#This Row],[Well]]))</f>
        <v>_A10</v>
      </c>
    </row>
    <row r="76" spans="1:20" ht="15.75" customHeight="1" x14ac:dyDescent="0.3">
      <c r="A76" s="29">
        <v>74</v>
      </c>
      <c r="B76" s="41" t="str">
        <f>RIGHT(tbl_SeqLib[[#This Row],[Well]],LEN(tbl_SeqLib[[#This Row],[Well]])-1)</f>
        <v>10</v>
      </c>
      <c r="C76" s="19" t="s">
        <v>187</v>
      </c>
      <c r="D76" s="19"/>
      <c r="E76" s="20"/>
      <c r="F76" s="19"/>
      <c r="G76" s="41"/>
      <c r="H76" s="20" t="s">
        <v>188</v>
      </c>
      <c r="I76" s="68">
        <f>IF(LEN(tbl_SeqLib[[#This Row],[PCR '[DNA'] (ng / µl)]])&gt;0,1,0)</f>
        <v>0</v>
      </c>
      <c r="J76" s="68">
        <f>IF(LEN(tbl_SeqLib[[#This Row],[Sample ID]])&gt;0,1,0)</f>
        <v>0</v>
      </c>
      <c r="K76" s="68">
        <f>IF(SUMIF(tbl_SeqLib[Column],tbl_SeqLib[[#This Row],[Column]],tbl_SeqLib[DNA conc present])&gt;0,1,0)</f>
        <v>0</v>
      </c>
      <c r="L76" s="68">
        <f>IF(SUM(tbl_SeqLib[[#This Row],[DNA conc present]:[Sample ID present]])&gt;0,1,0)</f>
        <v>0</v>
      </c>
      <c r="M7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6" s="69">
        <f>ROUNDDOWN(_xlfn.MAXIFS(tbl_SeqLib[Exact],tbl_SeqLib[Column],tbl_SeqLib[[#This Row],[Column]]),1)</f>
        <v>0</v>
      </c>
      <c r="O76" s="69" t="e">
        <f>AVERAGE(tbl_SeqLib[Exact])</f>
        <v>#DIV/0!</v>
      </c>
      <c r="P76" s="69">
        <f>MAX(tbl_SeqLib[Exact])</f>
        <v>0</v>
      </c>
      <c r="Q7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6" s="37"/>
      <c r="S76" s="61" t="str">
        <f>IF(tbl_SeqLib[[#This Row],[Calculate]],SUM(endrepair_maxvol-SUM(tbl_SeqLib[[#This Row],[PCR product (µl) to add (calculated)]:[PCR product (µl) added (if different from calculated)]])),"")</f>
        <v/>
      </c>
      <c r="T76" s="63" t="str">
        <f>IF(ISBLANK(#REF!),"",CONCATENATE(exp_id,"_",tbl_SeqLib[[#This Row],[Well]]))</f>
        <v>_B10</v>
      </c>
    </row>
    <row r="77" spans="1:20" ht="15.75" customHeight="1" x14ac:dyDescent="0.3">
      <c r="A77" s="29">
        <v>75</v>
      </c>
      <c r="B77" s="41" t="str">
        <f>RIGHT(tbl_SeqLib[[#This Row],[Well]],LEN(tbl_SeqLib[[#This Row],[Well]])-1)</f>
        <v>10</v>
      </c>
      <c r="C77" s="19" t="s">
        <v>189</v>
      </c>
      <c r="D77" s="19"/>
      <c r="E77" s="20"/>
      <c r="F77" s="19"/>
      <c r="G77" s="41"/>
      <c r="H77" s="20" t="s">
        <v>190</v>
      </c>
      <c r="I77" s="68">
        <f>IF(LEN(tbl_SeqLib[[#This Row],[PCR '[DNA'] (ng / µl)]])&gt;0,1,0)</f>
        <v>0</v>
      </c>
      <c r="J77" s="68">
        <f>IF(LEN(tbl_SeqLib[[#This Row],[Sample ID]])&gt;0,1,0)</f>
        <v>0</v>
      </c>
      <c r="K77" s="68">
        <f>IF(SUMIF(tbl_SeqLib[Column],tbl_SeqLib[[#This Row],[Column]],tbl_SeqLib[DNA conc present])&gt;0,1,0)</f>
        <v>0</v>
      </c>
      <c r="L77" s="68">
        <f>IF(SUM(tbl_SeqLib[[#This Row],[DNA conc present]:[Sample ID present]])&gt;0,1,0)</f>
        <v>0</v>
      </c>
      <c r="M7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7" s="69">
        <f>ROUNDDOWN(_xlfn.MAXIFS(tbl_SeqLib[Exact],tbl_SeqLib[Column],tbl_SeqLib[[#This Row],[Column]]),1)</f>
        <v>0</v>
      </c>
      <c r="O77" s="69" t="e">
        <f>AVERAGE(tbl_SeqLib[Exact])</f>
        <v>#DIV/0!</v>
      </c>
      <c r="P77" s="69">
        <f>MAX(tbl_SeqLib[Exact])</f>
        <v>0</v>
      </c>
      <c r="Q7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7" s="37"/>
      <c r="S77" s="61" t="str">
        <f>IF(tbl_SeqLib[[#This Row],[Calculate]],SUM(endrepair_maxvol-SUM(tbl_SeqLib[[#This Row],[PCR product (µl) to add (calculated)]:[PCR product (µl) added (if different from calculated)]])),"")</f>
        <v/>
      </c>
      <c r="T77" s="63" t="str">
        <f>IF(ISBLANK(#REF!),"",CONCATENATE(exp_id,"_",tbl_SeqLib[[#This Row],[Well]]))</f>
        <v>_C10</v>
      </c>
    </row>
    <row r="78" spans="1:20" ht="15.75" customHeight="1" x14ac:dyDescent="0.3">
      <c r="A78" s="29">
        <v>76</v>
      </c>
      <c r="B78" s="41" t="str">
        <f>RIGHT(tbl_SeqLib[[#This Row],[Well]],LEN(tbl_SeqLib[[#This Row],[Well]])-1)</f>
        <v>10</v>
      </c>
      <c r="C78" s="19" t="s">
        <v>191</v>
      </c>
      <c r="D78" s="19"/>
      <c r="E78" s="20"/>
      <c r="F78" s="19"/>
      <c r="G78" s="41"/>
      <c r="H78" s="20" t="s">
        <v>192</v>
      </c>
      <c r="I78" s="68">
        <f>IF(LEN(tbl_SeqLib[[#This Row],[PCR '[DNA'] (ng / µl)]])&gt;0,1,0)</f>
        <v>0</v>
      </c>
      <c r="J78" s="68">
        <f>IF(LEN(tbl_SeqLib[[#This Row],[Sample ID]])&gt;0,1,0)</f>
        <v>0</v>
      </c>
      <c r="K78" s="68">
        <f>IF(SUMIF(tbl_SeqLib[Column],tbl_SeqLib[[#This Row],[Column]],tbl_SeqLib[DNA conc present])&gt;0,1,0)</f>
        <v>0</v>
      </c>
      <c r="L78" s="68">
        <f>IF(SUM(tbl_SeqLib[[#This Row],[DNA conc present]:[Sample ID present]])&gt;0,1,0)</f>
        <v>0</v>
      </c>
      <c r="M7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8" s="69">
        <f>ROUNDDOWN(_xlfn.MAXIFS(tbl_SeqLib[Exact],tbl_SeqLib[Column],tbl_SeqLib[[#This Row],[Column]]),1)</f>
        <v>0</v>
      </c>
      <c r="O78" s="69" t="e">
        <f>AVERAGE(tbl_SeqLib[Exact])</f>
        <v>#DIV/0!</v>
      </c>
      <c r="P78" s="69">
        <f>MAX(tbl_SeqLib[Exact])</f>
        <v>0</v>
      </c>
      <c r="Q7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8" s="37"/>
      <c r="S78" s="61" t="str">
        <f>IF(tbl_SeqLib[[#This Row],[Calculate]],SUM(endrepair_maxvol-SUM(tbl_SeqLib[[#This Row],[PCR product (µl) to add (calculated)]:[PCR product (µl) added (if different from calculated)]])),"")</f>
        <v/>
      </c>
      <c r="T78" s="63" t="str">
        <f>IF(ISBLANK(#REF!),"",CONCATENATE(exp_id,"_",tbl_SeqLib[[#This Row],[Well]]))</f>
        <v>_D10</v>
      </c>
    </row>
    <row r="79" spans="1:20" ht="15.75" customHeight="1" x14ac:dyDescent="0.3">
      <c r="A79" s="29">
        <v>77</v>
      </c>
      <c r="B79" s="41" t="str">
        <f>RIGHT(tbl_SeqLib[[#This Row],[Well]],LEN(tbl_SeqLib[[#This Row],[Well]])-1)</f>
        <v>10</v>
      </c>
      <c r="C79" s="19" t="s">
        <v>193</v>
      </c>
      <c r="D79" s="19"/>
      <c r="E79" s="20"/>
      <c r="F79" s="19"/>
      <c r="G79" s="41"/>
      <c r="H79" s="20" t="s">
        <v>194</v>
      </c>
      <c r="I79" s="68">
        <f>IF(LEN(tbl_SeqLib[[#This Row],[PCR '[DNA'] (ng / µl)]])&gt;0,1,0)</f>
        <v>0</v>
      </c>
      <c r="J79" s="68">
        <f>IF(LEN(tbl_SeqLib[[#This Row],[Sample ID]])&gt;0,1,0)</f>
        <v>0</v>
      </c>
      <c r="K79" s="68">
        <f>IF(SUMIF(tbl_SeqLib[Column],tbl_SeqLib[[#This Row],[Column]],tbl_SeqLib[DNA conc present])&gt;0,1,0)</f>
        <v>0</v>
      </c>
      <c r="L79" s="68">
        <f>IF(SUM(tbl_SeqLib[[#This Row],[DNA conc present]:[Sample ID present]])&gt;0,1,0)</f>
        <v>0</v>
      </c>
      <c r="M7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79" s="69">
        <f>ROUNDDOWN(_xlfn.MAXIFS(tbl_SeqLib[Exact],tbl_SeqLib[Column],tbl_SeqLib[[#This Row],[Column]]),1)</f>
        <v>0</v>
      </c>
      <c r="O79" s="69" t="e">
        <f>AVERAGE(tbl_SeqLib[Exact])</f>
        <v>#DIV/0!</v>
      </c>
      <c r="P79" s="69">
        <f>MAX(tbl_SeqLib[Exact])</f>
        <v>0</v>
      </c>
      <c r="Q7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79" s="37"/>
      <c r="S79" s="61" t="str">
        <f>IF(tbl_SeqLib[[#This Row],[Calculate]],SUM(endrepair_maxvol-SUM(tbl_SeqLib[[#This Row],[PCR product (µl) to add (calculated)]:[PCR product (µl) added (if different from calculated)]])),"")</f>
        <v/>
      </c>
      <c r="T79" s="63" t="str">
        <f>IF(ISBLANK(#REF!),"",CONCATENATE(exp_id,"_",tbl_SeqLib[[#This Row],[Well]]))</f>
        <v>_E10</v>
      </c>
    </row>
    <row r="80" spans="1:20" ht="15.75" customHeight="1" x14ac:dyDescent="0.3">
      <c r="A80" s="29">
        <v>78</v>
      </c>
      <c r="B80" s="41" t="str">
        <f>RIGHT(tbl_SeqLib[[#This Row],[Well]],LEN(tbl_SeqLib[[#This Row],[Well]])-1)</f>
        <v>10</v>
      </c>
      <c r="C80" s="19" t="s">
        <v>195</v>
      </c>
      <c r="D80" s="19"/>
      <c r="E80" s="20"/>
      <c r="F80" s="19"/>
      <c r="G80" s="41"/>
      <c r="H80" s="20" t="s">
        <v>196</v>
      </c>
      <c r="I80" s="68">
        <f>IF(LEN(tbl_SeqLib[[#This Row],[PCR '[DNA'] (ng / µl)]])&gt;0,1,0)</f>
        <v>0</v>
      </c>
      <c r="J80" s="68">
        <f>IF(LEN(tbl_SeqLib[[#This Row],[Sample ID]])&gt;0,1,0)</f>
        <v>0</v>
      </c>
      <c r="K80" s="68">
        <f>IF(SUMIF(tbl_SeqLib[Column],tbl_SeqLib[[#This Row],[Column]],tbl_SeqLib[DNA conc present])&gt;0,1,0)</f>
        <v>0</v>
      </c>
      <c r="L80" s="68">
        <f>IF(SUM(tbl_SeqLib[[#This Row],[DNA conc present]:[Sample ID present]])&gt;0,1,0)</f>
        <v>0</v>
      </c>
      <c r="M80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0" s="69">
        <f>ROUNDDOWN(_xlfn.MAXIFS(tbl_SeqLib[Exact],tbl_SeqLib[Column],tbl_SeqLib[[#This Row],[Column]]),1)</f>
        <v>0</v>
      </c>
      <c r="O80" s="69" t="e">
        <f>AVERAGE(tbl_SeqLib[Exact])</f>
        <v>#DIV/0!</v>
      </c>
      <c r="P80" s="69">
        <f>MAX(tbl_SeqLib[Exact])</f>
        <v>0</v>
      </c>
      <c r="Q80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0" s="37"/>
      <c r="S80" s="61" t="str">
        <f>IF(tbl_SeqLib[[#This Row],[Calculate]],SUM(endrepair_maxvol-SUM(tbl_SeqLib[[#This Row],[PCR product (µl) to add (calculated)]:[PCR product (µl) added (if different from calculated)]])),"")</f>
        <v/>
      </c>
      <c r="T80" s="63" t="str">
        <f>IF(ISBLANK(#REF!),"",CONCATENATE(exp_id,"_",tbl_SeqLib[[#This Row],[Well]]))</f>
        <v>_F10</v>
      </c>
    </row>
    <row r="81" spans="1:20" ht="15.75" customHeight="1" x14ac:dyDescent="0.3">
      <c r="A81" s="29">
        <v>79</v>
      </c>
      <c r="B81" s="41" t="str">
        <f>RIGHT(tbl_SeqLib[[#This Row],[Well]],LEN(tbl_SeqLib[[#This Row],[Well]])-1)</f>
        <v>10</v>
      </c>
      <c r="C81" s="19" t="s">
        <v>197</v>
      </c>
      <c r="D81" s="19"/>
      <c r="E81" s="20"/>
      <c r="F81" s="19"/>
      <c r="G81" s="41"/>
      <c r="H81" s="20" t="s">
        <v>198</v>
      </c>
      <c r="I81" s="68">
        <f>IF(LEN(tbl_SeqLib[[#This Row],[PCR '[DNA'] (ng / µl)]])&gt;0,1,0)</f>
        <v>0</v>
      </c>
      <c r="J81" s="68">
        <f>IF(LEN(tbl_SeqLib[[#This Row],[Sample ID]])&gt;0,1,0)</f>
        <v>0</v>
      </c>
      <c r="K81" s="68">
        <f>IF(SUMIF(tbl_SeqLib[Column],tbl_SeqLib[[#This Row],[Column]],tbl_SeqLib[DNA conc present])&gt;0,1,0)</f>
        <v>0</v>
      </c>
      <c r="L81" s="68">
        <f>IF(SUM(tbl_SeqLib[[#This Row],[DNA conc present]:[Sample ID present]])&gt;0,1,0)</f>
        <v>0</v>
      </c>
      <c r="M81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1" s="69">
        <f>ROUNDDOWN(_xlfn.MAXIFS(tbl_SeqLib[Exact],tbl_SeqLib[Column],tbl_SeqLib[[#This Row],[Column]]),1)</f>
        <v>0</v>
      </c>
      <c r="O81" s="69" t="e">
        <f>AVERAGE(tbl_SeqLib[Exact])</f>
        <v>#DIV/0!</v>
      </c>
      <c r="P81" s="69">
        <f>MAX(tbl_SeqLib[Exact])</f>
        <v>0</v>
      </c>
      <c r="Q81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1" s="37"/>
      <c r="S81" s="61" t="str">
        <f>IF(tbl_SeqLib[[#This Row],[Calculate]],SUM(endrepair_maxvol-SUM(tbl_SeqLib[[#This Row],[PCR product (µl) to add (calculated)]:[PCR product (µl) added (if different from calculated)]])),"")</f>
        <v/>
      </c>
      <c r="T81" s="63" t="str">
        <f>IF(ISBLANK(#REF!),"",CONCATENATE(exp_id,"_",tbl_SeqLib[[#This Row],[Well]]))</f>
        <v>_G10</v>
      </c>
    </row>
    <row r="82" spans="1:20" ht="15.75" customHeight="1" thickBot="1" x14ac:dyDescent="0.35">
      <c r="A82" s="30">
        <v>80</v>
      </c>
      <c r="B82" s="42" t="str">
        <f>RIGHT(tbl_SeqLib[[#This Row],[Well]],LEN(tbl_SeqLib[[#This Row],[Well]])-1)</f>
        <v>10</v>
      </c>
      <c r="C82" s="31" t="s">
        <v>199</v>
      </c>
      <c r="D82" s="31"/>
      <c r="E82" s="32"/>
      <c r="F82" s="31"/>
      <c r="G82" s="42"/>
      <c r="H82" s="32" t="s">
        <v>200</v>
      </c>
      <c r="I82" s="70">
        <f>IF(LEN(tbl_SeqLib[[#This Row],[PCR '[DNA'] (ng / µl)]])&gt;0,1,0)</f>
        <v>0</v>
      </c>
      <c r="J82" s="70">
        <f>IF(LEN(tbl_SeqLib[[#This Row],[Sample ID]])&gt;0,1,0)</f>
        <v>0</v>
      </c>
      <c r="K82" s="70">
        <f>IF(SUMIF(tbl_SeqLib[Column],tbl_SeqLib[[#This Row],[Column]],tbl_SeqLib[DNA conc present])&gt;0,1,0)</f>
        <v>0</v>
      </c>
      <c r="L82" s="70">
        <f>IF(SUM(tbl_SeqLib[[#This Row],[DNA conc present]:[Sample ID present]])&gt;0,1,0)</f>
        <v>0</v>
      </c>
      <c r="M82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2" s="71">
        <f>ROUNDDOWN(_xlfn.MAXIFS(tbl_SeqLib[Exact],tbl_SeqLib[Column],tbl_SeqLib[[#This Row],[Column]]),1)</f>
        <v>0</v>
      </c>
      <c r="O82" s="71" t="e">
        <f>AVERAGE(tbl_SeqLib[Exact])</f>
        <v>#DIV/0!</v>
      </c>
      <c r="P82" s="71">
        <f>MAX(tbl_SeqLib[Exact])</f>
        <v>0</v>
      </c>
      <c r="Q82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2" s="38"/>
      <c r="S82" s="62" t="str">
        <f>IF(tbl_SeqLib[[#This Row],[Calculate]],SUM(endrepair_maxvol-SUM(tbl_SeqLib[[#This Row],[PCR product (µl) to add (calculated)]:[PCR product (µl) added (if different from calculated)]])),"")</f>
        <v/>
      </c>
      <c r="T82" s="64" t="str">
        <f>IF(ISBLANK(#REF!),"",CONCATENATE(exp_id,"_",tbl_SeqLib[[#This Row],[Well]]))</f>
        <v>_H10</v>
      </c>
    </row>
    <row r="83" spans="1:20" ht="15.75" customHeight="1" x14ac:dyDescent="0.3">
      <c r="A83" s="26">
        <v>81</v>
      </c>
      <c r="B83" s="40" t="str">
        <f>RIGHT(tbl_SeqLib[[#This Row],[Well]],LEN(tbl_SeqLib[[#This Row],[Well]])-1)</f>
        <v>11</v>
      </c>
      <c r="C83" s="27" t="s">
        <v>201</v>
      </c>
      <c r="D83" s="27"/>
      <c r="E83" s="28"/>
      <c r="F83" s="27"/>
      <c r="G83" s="40"/>
      <c r="H83" s="28" t="s">
        <v>202</v>
      </c>
      <c r="I83" s="66">
        <f>IF(LEN(tbl_SeqLib[[#This Row],[PCR '[DNA'] (ng / µl)]])&gt;0,1,0)</f>
        <v>0</v>
      </c>
      <c r="J83" s="66">
        <f>IF(LEN(tbl_SeqLib[[#This Row],[Sample ID]])&gt;0,1,0)</f>
        <v>0</v>
      </c>
      <c r="K83" s="66">
        <f>IF(SUMIF(tbl_SeqLib[Column],tbl_SeqLib[[#This Row],[Column]],tbl_SeqLib[DNA conc present])&gt;0,1,0)</f>
        <v>0</v>
      </c>
      <c r="L83" s="66">
        <f>IF(SUM(tbl_SeqLib[[#This Row],[DNA conc present]:[Sample ID present]])&gt;0,1,0)</f>
        <v>0</v>
      </c>
      <c r="M83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3" s="67">
        <f>ROUNDDOWN(_xlfn.MAXIFS(tbl_SeqLib[Exact],tbl_SeqLib[Column],tbl_SeqLib[[#This Row],[Column]]),1)</f>
        <v>0</v>
      </c>
      <c r="O83" s="67" t="e">
        <f>AVERAGE(tbl_SeqLib[Exact])</f>
        <v>#DIV/0!</v>
      </c>
      <c r="P83" s="67">
        <f>MAX(tbl_SeqLib[Exact])</f>
        <v>0</v>
      </c>
      <c r="Q83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3" s="36"/>
      <c r="S83" s="60" t="str">
        <f>IF(tbl_SeqLib[[#This Row],[Calculate]],SUM(endrepair_maxvol-SUM(tbl_SeqLib[[#This Row],[PCR product (µl) to add (calculated)]:[PCR product (µl) added (if different from calculated)]])),"")</f>
        <v/>
      </c>
      <c r="T83" s="52" t="str">
        <f>IF(ISBLANK(#REF!),"",CONCATENATE(exp_id,"_",tbl_SeqLib[[#This Row],[Well]]))</f>
        <v>_A11</v>
      </c>
    </row>
    <row r="84" spans="1:20" ht="15.75" customHeight="1" x14ac:dyDescent="0.3">
      <c r="A84" s="29">
        <v>82</v>
      </c>
      <c r="B84" s="41" t="str">
        <f>RIGHT(tbl_SeqLib[[#This Row],[Well]],LEN(tbl_SeqLib[[#This Row],[Well]])-1)</f>
        <v>11</v>
      </c>
      <c r="C84" s="19" t="s">
        <v>203</v>
      </c>
      <c r="D84" s="19"/>
      <c r="E84" s="20"/>
      <c r="F84" s="19"/>
      <c r="G84" s="41"/>
      <c r="H84" s="20" t="s">
        <v>204</v>
      </c>
      <c r="I84" s="68">
        <f>IF(LEN(tbl_SeqLib[[#This Row],[PCR '[DNA'] (ng / µl)]])&gt;0,1,0)</f>
        <v>0</v>
      </c>
      <c r="J84" s="68">
        <f>IF(LEN(tbl_SeqLib[[#This Row],[Sample ID]])&gt;0,1,0)</f>
        <v>0</v>
      </c>
      <c r="K84" s="68">
        <f>IF(SUMIF(tbl_SeqLib[Column],tbl_SeqLib[[#This Row],[Column]],tbl_SeqLib[DNA conc present])&gt;0,1,0)</f>
        <v>0</v>
      </c>
      <c r="L84" s="68">
        <f>IF(SUM(tbl_SeqLib[[#This Row],[DNA conc present]:[Sample ID present]])&gt;0,1,0)</f>
        <v>0</v>
      </c>
      <c r="M8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4" s="69">
        <f>ROUNDDOWN(_xlfn.MAXIFS(tbl_SeqLib[Exact],tbl_SeqLib[Column],tbl_SeqLib[[#This Row],[Column]]),1)</f>
        <v>0</v>
      </c>
      <c r="O84" s="69" t="e">
        <f>AVERAGE(tbl_SeqLib[Exact])</f>
        <v>#DIV/0!</v>
      </c>
      <c r="P84" s="69">
        <f>MAX(tbl_SeqLib[Exact])</f>
        <v>0</v>
      </c>
      <c r="Q8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4" s="37"/>
      <c r="S84" s="61" t="str">
        <f>IF(tbl_SeqLib[[#This Row],[Calculate]],SUM(endrepair_maxvol-SUM(tbl_SeqLib[[#This Row],[PCR product (µl) to add (calculated)]:[PCR product (µl) added (if different from calculated)]])),"")</f>
        <v/>
      </c>
      <c r="T84" s="63" t="str">
        <f>IF(ISBLANK(#REF!),"",CONCATENATE(exp_id,"_",tbl_SeqLib[[#This Row],[Well]]))</f>
        <v>_B11</v>
      </c>
    </row>
    <row r="85" spans="1:20" ht="15.75" customHeight="1" x14ac:dyDescent="0.3">
      <c r="A85" s="29">
        <v>83</v>
      </c>
      <c r="B85" s="41" t="str">
        <f>RIGHT(tbl_SeqLib[[#This Row],[Well]],LEN(tbl_SeqLib[[#This Row],[Well]])-1)</f>
        <v>11</v>
      </c>
      <c r="C85" s="19" t="s">
        <v>205</v>
      </c>
      <c r="D85" s="19"/>
      <c r="E85" s="20"/>
      <c r="F85" s="19"/>
      <c r="G85" s="41"/>
      <c r="H85" s="20" t="s">
        <v>206</v>
      </c>
      <c r="I85" s="68">
        <f>IF(LEN(tbl_SeqLib[[#This Row],[PCR '[DNA'] (ng / µl)]])&gt;0,1,0)</f>
        <v>0</v>
      </c>
      <c r="J85" s="68">
        <f>IF(LEN(tbl_SeqLib[[#This Row],[Sample ID]])&gt;0,1,0)</f>
        <v>0</v>
      </c>
      <c r="K85" s="68">
        <f>IF(SUMIF(tbl_SeqLib[Column],tbl_SeqLib[[#This Row],[Column]],tbl_SeqLib[DNA conc present])&gt;0,1,0)</f>
        <v>0</v>
      </c>
      <c r="L85" s="68">
        <f>IF(SUM(tbl_SeqLib[[#This Row],[DNA conc present]:[Sample ID present]])&gt;0,1,0)</f>
        <v>0</v>
      </c>
      <c r="M8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5" s="69">
        <f>ROUNDDOWN(_xlfn.MAXIFS(tbl_SeqLib[Exact],tbl_SeqLib[Column],tbl_SeqLib[[#This Row],[Column]]),1)</f>
        <v>0</v>
      </c>
      <c r="O85" s="69" t="e">
        <f>AVERAGE(tbl_SeqLib[Exact])</f>
        <v>#DIV/0!</v>
      </c>
      <c r="P85" s="69">
        <f>MAX(tbl_SeqLib[Exact])</f>
        <v>0</v>
      </c>
      <c r="Q8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5" s="37"/>
      <c r="S85" s="61" t="str">
        <f>IF(tbl_SeqLib[[#This Row],[Calculate]],SUM(endrepair_maxvol-SUM(tbl_SeqLib[[#This Row],[PCR product (µl) to add (calculated)]:[PCR product (µl) added (if different from calculated)]])),"")</f>
        <v/>
      </c>
      <c r="T85" s="63" t="str">
        <f>IF(ISBLANK(#REF!),"",CONCATENATE(exp_id,"_",tbl_SeqLib[[#This Row],[Well]]))</f>
        <v>_C11</v>
      </c>
    </row>
    <row r="86" spans="1:20" ht="15.75" customHeight="1" x14ac:dyDescent="0.3">
      <c r="A86" s="29">
        <v>84</v>
      </c>
      <c r="B86" s="41" t="str">
        <f>RIGHT(tbl_SeqLib[[#This Row],[Well]],LEN(tbl_SeqLib[[#This Row],[Well]])-1)</f>
        <v>11</v>
      </c>
      <c r="C86" s="19" t="s">
        <v>207</v>
      </c>
      <c r="D86" s="19"/>
      <c r="E86" s="20"/>
      <c r="F86" s="19"/>
      <c r="G86" s="41"/>
      <c r="H86" s="20" t="s">
        <v>208</v>
      </c>
      <c r="I86" s="68">
        <f>IF(LEN(tbl_SeqLib[[#This Row],[PCR '[DNA'] (ng / µl)]])&gt;0,1,0)</f>
        <v>0</v>
      </c>
      <c r="J86" s="68">
        <f>IF(LEN(tbl_SeqLib[[#This Row],[Sample ID]])&gt;0,1,0)</f>
        <v>0</v>
      </c>
      <c r="K86" s="68">
        <f>IF(SUMIF(tbl_SeqLib[Column],tbl_SeqLib[[#This Row],[Column]],tbl_SeqLib[DNA conc present])&gt;0,1,0)</f>
        <v>0</v>
      </c>
      <c r="L86" s="68">
        <f>IF(SUM(tbl_SeqLib[[#This Row],[DNA conc present]:[Sample ID present]])&gt;0,1,0)</f>
        <v>0</v>
      </c>
      <c r="M8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6" s="69">
        <f>ROUNDDOWN(_xlfn.MAXIFS(tbl_SeqLib[Exact],tbl_SeqLib[Column],tbl_SeqLib[[#This Row],[Column]]),1)</f>
        <v>0</v>
      </c>
      <c r="O86" s="69" t="e">
        <f>AVERAGE(tbl_SeqLib[Exact])</f>
        <v>#DIV/0!</v>
      </c>
      <c r="P86" s="69">
        <f>MAX(tbl_SeqLib[Exact])</f>
        <v>0</v>
      </c>
      <c r="Q8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6" s="37"/>
      <c r="S86" s="61" t="str">
        <f>IF(tbl_SeqLib[[#This Row],[Calculate]],SUM(endrepair_maxvol-SUM(tbl_SeqLib[[#This Row],[PCR product (µl) to add (calculated)]:[PCR product (µl) added (if different from calculated)]])),"")</f>
        <v/>
      </c>
      <c r="T86" s="63" t="str">
        <f>IF(ISBLANK(#REF!),"",CONCATENATE(exp_id,"_",tbl_SeqLib[[#This Row],[Well]]))</f>
        <v>_D11</v>
      </c>
    </row>
    <row r="87" spans="1:20" ht="15.75" customHeight="1" x14ac:dyDescent="0.3">
      <c r="A87" s="29">
        <v>85</v>
      </c>
      <c r="B87" s="41" t="str">
        <f>RIGHT(tbl_SeqLib[[#This Row],[Well]],LEN(tbl_SeqLib[[#This Row],[Well]])-1)</f>
        <v>11</v>
      </c>
      <c r="C87" s="19" t="s">
        <v>209</v>
      </c>
      <c r="D87" s="19"/>
      <c r="E87" s="20"/>
      <c r="F87" s="19"/>
      <c r="G87" s="41"/>
      <c r="H87" s="20" t="s">
        <v>210</v>
      </c>
      <c r="I87" s="68">
        <f>IF(LEN(tbl_SeqLib[[#This Row],[PCR '[DNA'] (ng / µl)]])&gt;0,1,0)</f>
        <v>0</v>
      </c>
      <c r="J87" s="68">
        <f>IF(LEN(tbl_SeqLib[[#This Row],[Sample ID]])&gt;0,1,0)</f>
        <v>0</v>
      </c>
      <c r="K87" s="68">
        <f>IF(SUMIF(tbl_SeqLib[Column],tbl_SeqLib[[#This Row],[Column]],tbl_SeqLib[DNA conc present])&gt;0,1,0)</f>
        <v>0</v>
      </c>
      <c r="L87" s="68">
        <f>IF(SUM(tbl_SeqLib[[#This Row],[DNA conc present]:[Sample ID present]])&gt;0,1,0)</f>
        <v>0</v>
      </c>
      <c r="M8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7" s="69">
        <f>ROUNDDOWN(_xlfn.MAXIFS(tbl_SeqLib[Exact],tbl_SeqLib[Column],tbl_SeqLib[[#This Row],[Column]]),1)</f>
        <v>0</v>
      </c>
      <c r="O87" s="69" t="e">
        <f>AVERAGE(tbl_SeqLib[Exact])</f>
        <v>#DIV/0!</v>
      </c>
      <c r="P87" s="69">
        <f>MAX(tbl_SeqLib[Exact])</f>
        <v>0</v>
      </c>
      <c r="Q8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7" s="37"/>
      <c r="S87" s="61" t="str">
        <f>IF(tbl_SeqLib[[#This Row],[Calculate]],SUM(endrepair_maxvol-SUM(tbl_SeqLib[[#This Row],[PCR product (µl) to add (calculated)]:[PCR product (µl) added (if different from calculated)]])),"")</f>
        <v/>
      </c>
      <c r="T87" s="63" t="str">
        <f>IF(ISBLANK(#REF!),"",CONCATENATE(exp_id,"_",tbl_SeqLib[[#This Row],[Well]]))</f>
        <v>_E11</v>
      </c>
    </row>
    <row r="88" spans="1:20" ht="15.75" customHeight="1" x14ac:dyDescent="0.3">
      <c r="A88" s="29">
        <v>86</v>
      </c>
      <c r="B88" s="41" t="str">
        <f>RIGHT(tbl_SeqLib[[#This Row],[Well]],LEN(tbl_SeqLib[[#This Row],[Well]])-1)</f>
        <v>11</v>
      </c>
      <c r="C88" s="19" t="s">
        <v>211</v>
      </c>
      <c r="D88" s="19"/>
      <c r="E88" s="20"/>
      <c r="F88" s="19"/>
      <c r="G88" s="41"/>
      <c r="H88" s="20" t="s">
        <v>212</v>
      </c>
      <c r="I88" s="68">
        <f>IF(LEN(tbl_SeqLib[[#This Row],[PCR '[DNA'] (ng / µl)]])&gt;0,1,0)</f>
        <v>0</v>
      </c>
      <c r="J88" s="68">
        <f>IF(LEN(tbl_SeqLib[[#This Row],[Sample ID]])&gt;0,1,0)</f>
        <v>0</v>
      </c>
      <c r="K88" s="68">
        <f>IF(SUMIF(tbl_SeqLib[Column],tbl_SeqLib[[#This Row],[Column]],tbl_SeqLib[DNA conc present])&gt;0,1,0)</f>
        <v>0</v>
      </c>
      <c r="L88" s="68">
        <f>IF(SUM(tbl_SeqLib[[#This Row],[DNA conc present]:[Sample ID present]])&gt;0,1,0)</f>
        <v>0</v>
      </c>
      <c r="M88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8" s="69">
        <f>ROUNDDOWN(_xlfn.MAXIFS(tbl_SeqLib[Exact],tbl_SeqLib[Column],tbl_SeqLib[[#This Row],[Column]]),1)</f>
        <v>0</v>
      </c>
      <c r="O88" s="69" t="e">
        <f>AVERAGE(tbl_SeqLib[Exact])</f>
        <v>#DIV/0!</v>
      </c>
      <c r="P88" s="69">
        <f>MAX(tbl_SeqLib[Exact])</f>
        <v>0</v>
      </c>
      <c r="Q88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8" s="37"/>
      <c r="S88" s="61" t="str">
        <f>IF(tbl_SeqLib[[#This Row],[Calculate]],SUM(endrepair_maxvol-SUM(tbl_SeqLib[[#This Row],[PCR product (µl) to add (calculated)]:[PCR product (µl) added (if different from calculated)]])),"")</f>
        <v/>
      </c>
      <c r="T88" s="63" t="str">
        <f>IF(ISBLANK(#REF!),"",CONCATENATE(exp_id,"_",tbl_SeqLib[[#This Row],[Well]]))</f>
        <v>_F11</v>
      </c>
    </row>
    <row r="89" spans="1:20" ht="15.75" customHeight="1" x14ac:dyDescent="0.3">
      <c r="A89" s="29">
        <v>87</v>
      </c>
      <c r="B89" s="41" t="str">
        <f>RIGHT(tbl_SeqLib[[#This Row],[Well]],LEN(tbl_SeqLib[[#This Row],[Well]])-1)</f>
        <v>11</v>
      </c>
      <c r="C89" s="19" t="s">
        <v>213</v>
      </c>
      <c r="D89" s="19"/>
      <c r="E89" s="20"/>
      <c r="F89" s="19"/>
      <c r="G89" s="41"/>
      <c r="H89" s="20" t="s">
        <v>214</v>
      </c>
      <c r="I89" s="68">
        <f>IF(LEN(tbl_SeqLib[[#This Row],[PCR '[DNA'] (ng / µl)]])&gt;0,1,0)</f>
        <v>0</v>
      </c>
      <c r="J89" s="68">
        <f>IF(LEN(tbl_SeqLib[[#This Row],[Sample ID]])&gt;0,1,0)</f>
        <v>0</v>
      </c>
      <c r="K89" s="68">
        <f>IF(SUMIF(tbl_SeqLib[Column],tbl_SeqLib[[#This Row],[Column]],tbl_SeqLib[DNA conc present])&gt;0,1,0)</f>
        <v>0</v>
      </c>
      <c r="L89" s="68">
        <f>IF(SUM(tbl_SeqLib[[#This Row],[DNA conc present]:[Sample ID present]])&gt;0,1,0)</f>
        <v>0</v>
      </c>
      <c r="M89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89" s="69">
        <f>ROUNDDOWN(_xlfn.MAXIFS(tbl_SeqLib[Exact],tbl_SeqLib[Column],tbl_SeqLib[[#This Row],[Column]]),1)</f>
        <v>0</v>
      </c>
      <c r="O89" s="69" t="e">
        <f>AVERAGE(tbl_SeqLib[Exact])</f>
        <v>#DIV/0!</v>
      </c>
      <c r="P89" s="69">
        <f>MAX(tbl_SeqLib[Exact])</f>
        <v>0</v>
      </c>
      <c r="Q89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89" s="37"/>
      <c r="S89" s="61" t="str">
        <f>IF(tbl_SeqLib[[#This Row],[Calculate]],SUM(endrepair_maxvol-SUM(tbl_SeqLib[[#This Row],[PCR product (µl) to add (calculated)]:[PCR product (µl) added (if different from calculated)]])),"")</f>
        <v/>
      </c>
      <c r="T89" s="63" t="str">
        <f>IF(ISBLANK(#REF!),"",CONCATENATE(exp_id,"_",tbl_SeqLib[[#This Row],[Well]]))</f>
        <v>_G11</v>
      </c>
    </row>
    <row r="90" spans="1:20" ht="15.75" customHeight="1" thickBot="1" x14ac:dyDescent="0.35">
      <c r="A90" s="30">
        <v>88</v>
      </c>
      <c r="B90" s="42" t="str">
        <f>RIGHT(tbl_SeqLib[[#This Row],[Well]],LEN(tbl_SeqLib[[#This Row],[Well]])-1)</f>
        <v>11</v>
      </c>
      <c r="C90" s="31" t="s">
        <v>215</v>
      </c>
      <c r="D90" s="31"/>
      <c r="E90" s="32"/>
      <c r="F90" s="31"/>
      <c r="G90" s="42"/>
      <c r="H90" s="32" t="s">
        <v>216</v>
      </c>
      <c r="I90" s="70">
        <f>IF(LEN(tbl_SeqLib[[#This Row],[PCR '[DNA'] (ng / µl)]])&gt;0,1,0)</f>
        <v>0</v>
      </c>
      <c r="J90" s="70">
        <f>IF(LEN(tbl_SeqLib[[#This Row],[Sample ID]])&gt;0,1,0)</f>
        <v>0</v>
      </c>
      <c r="K90" s="70">
        <f>IF(SUMIF(tbl_SeqLib[Column],tbl_SeqLib[[#This Row],[Column]],tbl_SeqLib[DNA conc present])&gt;0,1,0)</f>
        <v>0</v>
      </c>
      <c r="L90" s="70">
        <f>IF(SUM(tbl_SeqLib[[#This Row],[DNA conc present]:[Sample ID present]])&gt;0,1,0)</f>
        <v>0</v>
      </c>
      <c r="M90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0" s="71">
        <f>ROUNDDOWN(_xlfn.MAXIFS(tbl_SeqLib[Exact],tbl_SeqLib[Column],tbl_SeqLib[[#This Row],[Column]]),1)</f>
        <v>0</v>
      </c>
      <c r="O90" s="71" t="e">
        <f>AVERAGE(tbl_SeqLib[Exact])</f>
        <v>#DIV/0!</v>
      </c>
      <c r="P90" s="71">
        <f>MAX(tbl_SeqLib[Exact])</f>
        <v>0</v>
      </c>
      <c r="Q90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0" s="38"/>
      <c r="S90" s="62" t="str">
        <f>IF(tbl_SeqLib[[#This Row],[Calculate]],SUM(endrepair_maxvol-SUM(tbl_SeqLib[[#This Row],[PCR product (µl) to add (calculated)]:[PCR product (µl) added (if different from calculated)]])),"")</f>
        <v/>
      </c>
      <c r="T90" s="64" t="str">
        <f>IF(ISBLANK(#REF!),"",CONCATENATE(exp_id,"_",tbl_SeqLib[[#This Row],[Well]]))</f>
        <v>_H11</v>
      </c>
    </row>
    <row r="91" spans="1:20" ht="15.75" customHeight="1" x14ac:dyDescent="0.3">
      <c r="A91" s="26">
        <v>89</v>
      </c>
      <c r="B91" s="40" t="str">
        <f>RIGHT(tbl_SeqLib[[#This Row],[Well]],LEN(tbl_SeqLib[[#This Row],[Well]])-1)</f>
        <v>12</v>
      </c>
      <c r="C91" s="27" t="s">
        <v>217</v>
      </c>
      <c r="D91" s="27"/>
      <c r="E91" s="28"/>
      <c r="F91" s="27"/>
      <c r="G91" s="40"/>
      <c r="H91" s="28" t="s">
        <v>218</v>
      </c>
      <c r="I91" s="66">
        <f>IF(LEN(tbl_SeqLib[[#This Row],[PCR '[DNA'] (ng / µl)]])&gt;0,1,0)</f>
        <v>0</v>
      </c>
      <c r="J91" s="66">
        <f>IF(LEN(tbl_SeqLib[[#This Row],[Sample ID]])&gt;0,1,0)</f>
        <v>0</v>
      </c>
      <c r="K91" s="66">
        <f>IF(SUMIF(tbl_SeqLib[Column],tbl_SeqLib[[#This Row],[Column]],tbl_SeqLib[DNA conc present])&gt;0,1,0)</f>
        <v>0</v>
      </c>
      <c r="L91" s="66">
        <f>IF(SUM(tbl_SeqLib[[#This Row],[DNA conc present]:[Sample ID present]])&gt;0,1,0)</f>
        <v>0</v>
      </c>
      <c r="M91" s="67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1" s="67">
        <f>ROUNDDOWN(_xlfn.MAXIFS(tbl_SeqLib[Exact],tbl_SeqLib[Column],tbl_SeqLib[[#This Row],[Column]]),1)</f>
        <v>0</v>
      </c>
      <c r="O91" s="67" t="e">
        <f>AVERAGE(tbl_SeqLib[Exact])</f>
        <v>#DIV/0!</v>
      </c>
      <c r="P91" s="67">
        <f>MAX(tbl_SeqLib[Exact])</f>
        <v>0</v>
      </c>
      <c r="Q91" s="67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1" s="36"/>
      <c r="S91" s="60" t="str">
        <f>IF(tbl_SeqLib[[#This Row],[Calculate]],SUM(endrepair_maxvol-SUM(tbl_SeqLib[[#This Row],[PCR product (µl) to add (calculated)]:[PCR product (µl) added (if different from calculated)]])),"")</f>
        <v/>
      </c>
      <c r="T91" s="52" t="str">
        <f>IF(ISBLANK(#REF!),"",CONCATENATE(exp_id,"_",tbl_SeqLib[[#This Row],[Well]]))</f>
        <v>_A12</v>
      </c>
    </row>
    <row r="92" spans="1:20" ht="15.75" customHeight="1" x14ac:dyDescent="0.3">
      <c r="A92" s="29">
        <v>90</v>
      </c>
      <c r="B92" s="41" t="str">
        <f>RIGHT(tbl_SeqLib[[#This Row],[Well]],LEN(tbl_SeqLib[[#This Row],[Well]])-1)</f>
        <v>12</v>
      </c>
      <c r="C92" s="19" t="s">
        <v>219</v>
      </c>
      <c r="D92" s="19"/>
      <c r="E92" s="20"/>
      <c r="F92" s="19"/>
      <c r="G92" s="41"/>
      <c r="H92" s="20" t="s">
        <v>220</v>
      </c>
      <c r="I92" s="68">
        <f>IF(LEN(tbl_SeqLib[[#This Row],[PCR '[DNA'] (ng / µl)]])&gt;0,1,0)</f>
        <v>0</v>
      </c>
      <c r="J92" s="68">
        <f>IF(LEN(tbl_SeqLib[[#This Row],[Sample ID]])&gt;0,1,0)</f>
        <v>0</v>
      </c>
      <c r="K92" s="68">
        <f>IF(SUMIF(tbl_SeqLib[Column],tbl_SeqLib[[#This Row],[Column]],tbl_SeqLib[DNA conc present])&gt;0,1,0)</f>
        <v>0</v>
      </c>
      <c r="L92" s="68">
        <f>IF(SUM(tbl_SeqLib[[#This Row],[DNA conc present]:[Sample ID present]])&gt;0,1,0)</f>
        <v>0</v>
      </c>
      <c r="M92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2" s="69">
        <f>ROUNDDOWN(_xlfn.MAXIFS(tbl_SeqLib[Exact],tbl_SeqLib[Column],tbl_SeqLib[[#This Row],[Column]]),1)</f>
        <v>0</v>
      </c>
      <c r="O92" s="69" t="e">
        <f>AVERAGE(tbl_SeqLib[Exact])</f>
        <v>#DIV/0!</v>
      </c>
      <c r="P92" s="69">
        <f>MAX(tbl_SeqLib[Exact])</f>
        <v>0</v>
      </c>
      <c r="Q92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2" s="37"/>
      <c r="S92" s="61" t="str">
        <f>IF(tbl_SeqLib[[#This Row],[Calculate]],SUM(endrepair_maxvol-SUM(tbl_SeqLib[[#This Row],[PCR product (µl) to add (calculated)]:[PCR product (µl) added (if different from calculated)]])),"")</f>
        <v/>
      </c>
      <c r="T92" s="63" t="str">
        <f>IF(ISBLANK(#REF!),"",CONCATENATE(exp_id,"_",tbl_SeqLib[[#This Row],[Well]]))</f>
        <v>_B12</v>
      </c>
    </row>
    <row r="93" spans="1:20" ht="15.75" customHeight="1" x14ac:dyDescent="0.3">
      <c r="A93" s="29">
        <v>91</v>
      </c>
      <c r="B93" s="41" t="str">
        <f>RIGHT(tbl_SeqLib[[#This Row],[Well]],LEN(tbl_SeqLib[[#This Row],[Well]])-1)</f>
        <v>12</v>
      </c>
      <c r="C93" s="19" t="s">
        <v>221</v>
      </c>
      <c r="D93" s="19"/>
      <c r="E93" s="20"/>
      <c r="F93" s="19"/>
      <c r="G93" s="41"/>
      <c r="H93" s="20" t="s">
        <v>222</v>
      </c>
      <c r="I93" s="68">
        <f>IF(LEN(tbl_SeqLib[[#This Row],[PCR '[DNA'] (ng / µl)]])&gt;0,1,0)</f>
        <v>0</v>
      </c>
      <c r="J93" s="68">
        <f>IF(LEN(tbl_SeqLib[[#This Row],[Sample ID]])&gt;0,1,0)</f>
        <v>0</v>
      </c>
      <c r="K93" s="68">
        <f>IF(SUMIF(tbl_SeqLib[Column],tbl_SeqLib[[#This Row],[Column]],tbl_SeqLib[DNA conc present])&gt;0,1,0)</f>
        <v>0</v>
      </c>
      <c r="L93" s="68">
        <f>IF(SUM(tbl_SeqLib[[#This Row],[DNA conc present]:[Sample ID present]])&gt;0,1,0)</f>
        <v>0</v>
      </c>
      <c r="M93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3" s="69">
        <f>ROUNDDOWN(_xlfn.MAXIFS(tbl_SeqLib[Exact],tbl_SeqLib[Column],tbl_SeqLib[[#This Row],[Column]]),1)</f>
        <v>0</v>
      </c>
      <c r="O93" s="69" t="e">
        <f>AVERAGE(tbl_SeqLib[Exact])</f>
        <v>#DIV/0!</v>
      </c>
      <c r="P93" s="69">
        <f>MAX(tbl_SeqLib[Exact])</f>
        <v>0</v>
      </c>
      <c r="Q93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3" s="37"/>
      <c r="S93" s="61" t="str">
        <f>IF(tbl_SeqLib[[#This Row],[Calculate]],SUM(endrepair_maxvol-SUM(tbl_SeqLib[[#This Row],[PCR product (µl) to add (calculated)]:[PCR product (µl) added (if different from calculated)]])),"")</f>
        <v/>
      </c>
      <c r="T93" s="63" t="str">
        <f>IF(ISBLANK(#REF!),"",CONCATENATE(exp_id,"_",tbl_SeqLib[[#This Row],[Well]]))</f>
        <v>_C12</v>
      </c>
    </row>
    <row r="94" spans="1:20" ht="15.75" customHeight="1" x14ac:dyDescent="0.3">
      <c r="A94" s="29">
        <v>92</v>
      </c>
      <c r="B94" s="41" t="str">
        <f>RIGHT(tbl_SeqLib[[#This Row],[Well]],LEN(tbl_SeqLib[[#This Row],[Well]])-1)</f>
        <v>12</v>
      </c>
      <c r="C94" s="19" t="s">
        <v>223</v>
      </c>
      <c r="D94" s="19"/>
      <c r="E94" s="20"/>
      <c r="F94" s="19"/>
      <c r="G94" s="41"/>
      <c r="H94" s="20" t="s">
        <v>224</v>
      </c>
      <c r="I94" s="68">
        <f>IF(LEN(tbl_SeqLib[[#This Row],[PCR '[DNA'] (ng / µl)]])&gt;0,1,0)</f>
        <v>0</v>
      </c>
      <c r="J94" s="68">
        <f>IF(LEN(tbl_SeqLib[[#This Row],[Sample ID]])&gt;0,1,0)</f>
        <v>0</v>
      </c>
      <c r="K94" s="68">
        <f>IF(SUMIF(tbl_SeqLib[Column],tbl_SeqLib[[#This Row],[Column]],tbl_SeqLib[DNA conc present])&gt;0,1,0)</f>
        <v>0</v>
      </c>
      <c r="L94" s="68">
        <f>IF(SUM(tbl_SeqLib[[#This Row],[DNA conc present]:[Sample ID present]])&gt;0,1,0)</f>
        <v>0</v>
      </c>
      <c r="M94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4" s="69">
        <f>ROUNDDOWN(_xlfn.MAXIFS(tbl_SeqLib[Exact],tbl_SeqLib[Column],tbl_SeqLib[[#This Row],[Column]]),1)</f>
        <v>0</v>
      </c>
      <c r="O94" s="69" t="e">
        <f>AVERAGE(tbl_SeqLib[Exact])</f>
        <v>#DIV/0!</v>
      </c>
      <c r="P94" s="69">
        <f>MAX(tbl_SeqLib[Exact])</f>
        <v>0</v>
      </c>
      <c r="Q94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4" s="37"/>
      <c r="S94" s="61" t="str">
        <f>IF(tbl_SeqLib[[#This Row],[Calculate]],SUM(endrepair_maxvol-SUM(tbl_SeqLib[[#This Row],[PCR product (µl) to add (calculated)]:[PCR product (µl) added (if different from calculated)]])),"")</f>
        <v/>
      </c>
      <c r="T94" s="63" t="str">
        <f>IF(ISBLANK(#REF!),"",CONCATENATE(exp_id,"_",tbl_SeqLib[[#This Row],[Well]]))</f>
        <v>_D12</v>
      </c>
    </row>
    <row r="95" spans="1:20" ht="15.75" customHeight="1" x14ac:dyDescent="0.3">
      <c r="A95" s="29">
        <v>93</v>
      </c>
      <c r="B95" s="41" t="str">
        <f>RIGHT(tbl_SeqLib[[#This Row],[Well]],LEN(tbl_SeqLib[[#This Row],[Well]])-1)</f>
        <v>12</v>
      </c>
      <c r="C95" s="19" t="s">
        <v>225</v>
      </c>
      <c r="D95" s="19"/>
      <c r="E95" s="20"/>
      <c r="F95" s="19"/>
      <c r="G95" s="41"/>
      <c r="H95" s="20" t="s">
        <v>226</v>
      </c>
      <c r="I95" s="68">
        <f>IF(LEN(tbl_SeqLib[[#This Row],[PCR '[DNA'] (ng / µl)]])&gt;0,1,0)</f>
        <v>0</v>
      </c>
      <c r="J95" s="68">
        <f>IF(LEN(tbl_SeqLib[[#This Row],[Sample ID]])&gt;0,1,0)</f>
        <v>0</v>
      </c>
      <c r="K95" s="68">
        <f>IF(SUMIF(tbl_SeqLib[Column],tbl_SeqLib[[#This Row],[Column]],tbl_SeqLib[DNA conc present])&gt;0,1,0)</f>
        <v>0</v>
      </c>
      <c r="L95" s="68">
        <f>IF(SUM(tbl_SeqLib[[#This Row],[DNA conc present]:[Sample ID present]])&gt;0,1,0)</f>
        <v>0</v>
      </c>
      <c r="M95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5" s="69">
        <f>ROUNDDOWN(_xlfn.MAXIFS(tbl_SeqLib[Exact],tbl_SeqLib[Column],tbl_SeqLib[[#This Row],[Column]]),1)</f>
        <v>0</v>
      </c>
      <c r="O95" s="69" t="e">
        <f>AVERAGE(tbl_SeqLib[Exact])</f>
        <v>#DIV/0!</v>
      </c>
      <c r="P95" s="69">
        <f>MAX(tbl_SeqLib[Exact])</f>
        <v>0</v>
      </c>
      <c r="Q95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5" s="37"/>
      <c r="S95" s="61" t="str">
        <f>IF(tbl_SeqLib[[#This Row],[Calculate]],SUM(endrepair_maxvol-SUM(tbl_SeqLib[[#This Row],[PCR product (µl) to add (calculated)]:[PCR product (µl) added (if different from calculated)]])),"")</f>
        <v/>
      </c>
      <c r="T95" s="63" t="str">
        <f>IF(ISBLANK(#REF!),"",CONCATENATE(exp_id,"_",tbl_SeqLib[[#This Row],[Well]]))</f>
        <v>_E12</v>
      </c>
    </row>
    <row r="96" spans="1:20" ht="15.75" customHeight="1" x14ac:dyDescent="0.3">
      <c r="A96" s="29">
        <v>94</v>
      </c>
      <c r="B96" s="41" t="str">
        <f>RIGHT(tbl_SeqLib[[#This Row],[Well]],LEN(tbl_SeqLib[[#This Row],[Well]])-1)</f>
        <v>12</v>
      </c>
      <c r="C96" s="19" t="s">
        <v>227</v>
      </c>
      <c r="D96" s="19"/>
      <c r="E96" s="20"/>
      <c r="F96" s="19"/>
      <c r="G96" s="41"/>
      <c r="H96" s="20" t="s">
        <v>228</v>
      </c>
      <c r="I96" s="68">
        <f>IF(LEN(tbl_SeqLib[[#This Row],[PCR '[DNA'] (ng / µl)]])&gt;0,1,0)</f>
        <v>0</v>
      </c>
      <c r="J96" s="68">
        <f>IF(LEN(tbl_SeqLib[[#This Row],[Sample ID]])&gt;0,1,0)</f>
        <v>0</v>
      </c>
      <c r="K96" s="68">
        <f>IF(SUMIF(tbl_SeqLib[Column],tbl_SeqLib[[#This Row],[Column]],tbl_SeqLib[DNA conc present])&gt;0,1,0)</f>
        <v>0</v>
      </c>
      <c r="L96" s="68">
        <f>IF(SUM(tbl_SeqLib[[#This Row],[DNA conc present]:[Sample ID present]])&gt;0,1,0)</f>
        <v>0</v>
      </c>
      <c r="M96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6" s="69">
        <f>ROUNDDOWN(_xlfn.MAXIFS(tbl_SeqLib[Exact],tbl_SeqLib[Column],tbl_SeqLib[[#This Row],[Column]]),1)</f>
        <v>0</v>
      </c>
      <c r="O96" s="69" t="e">
        <f>AVERAGE(tbl_SeqLib[Exact])</f>
        <v>#DIV/0!</v>
      </c>
      <c r="P96" s="69">
        <f>MAX(tbl_SeqLib[Exact])</f>
        <v>0</v>
      </c>
      <c r="Q96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6" s="37"/>
      <c r="S96" s="61" t="str">
        <f>IF(tbl_SeqLib[[#This Row],[Calculate]],SUM(endrepair_maxvol-SUM(tbl_SeqLib[[#This Row],[PCR product (µl) to add (calculated)]:[PCR product (µl) added (if different from calculated)]])),"")</f>
        <v/>
      </c>
      <c r="T96" s="63" t="str">
        <f>IF(ISBLANK(#REF!),"",CONCATENATE(exp_id,"_",tbl_SeqLib[[#This Row],[Well]]))</f>
        <v>_F12</v>
      </c>
    </row>
    <row r="97" spans="1:20" ht="15.75" customHeight="1" x14ac:dyDescent="0.3">
      <c r="A97" s="29">
        <v>95</v>
      </c>
      <c r="B97" s="41" t="str">
        <f>RIGHT(tbl_SeqLib[[#This Row],[Well]],LEN(tbl_SeqLib[[#This Row],[Well]])-1)</f>
        <v>12</v>
      </c>
      <c r="C97" s="19" t="s">
        <v>229</v>
      </c>
      <c r="D97" s="19"/>
      <c r="E97" s="20"/>
      <c r="F97" s="19"/>
      <c r="G97" s="41"/>
      <c r="H97" s="20" t="s">
        <v>230</v>
      </c>
      <c r="I97" s="68">
        <f>IF(LEN(tbl_SeqLib[[#This Row],[PCR '[DNA'] (ng / µl)]])&gt;0,1,0)</f>
        <v>0</v>
      </c>
      <c r="J97" s="68">
        <f>IF(LEN(tbl_SeqLib[[#This Row],[Sample ID]])&gt;0,1,0)</f>
        <v>0</v>
      </c>
      <c r="K97" s="68">
        <f>IF(SUMIF(tbl_SeqLib[Column],tbl_SeqLib[[#This Row],[Column]],tbl_SeqLib[DNA conc present])&gt;0,1,0)</f>
        <v>0</v>
      </c>
      <c r="L97" s="68">
        <f>IF(SUM(tbl_SeqLib[[#This Row],[DNA conc present]:[Sample ID present]])&gt;0,1,0)</f>
        <v>0</v>
      </c>
      <c r="M97" s="69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7" s="69">
        <f>ROUNDDOWN(_xlfn.MAXIFS(tbl_SeqLib[Exact],tbl_SeqLib[Column],tbl_SeqLib[[#This Row],[Column]]),1)</f>
        <v>0</v>
      </c>
      <c r="O97" s="69" t="e">
        <f>AVERAGE(tbl_SeqLib[Exact])</f>
        <v>#DIV/0!</v>
      </c>
      <c r="P97" s="69">
        <f>MAX(tbl_SeqLib[Exact])</f>
        <v>0</v>
      </c>
      <c r="Q97" s="69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7" s="37"/>
      <c r="S97" s="61" t="str">
        <f>IF(tbl_SeqLib[[#This Row],[Calculate]],SUM(endrepair_maxvol-SUM(tbl_SeqLib[[#This Row],[PCR product (µl) to add (calculated)]:[PCR product (µl) added (if different from calculated)]])),"")</f>
        <v/>
      </c>
      <c r="T97" s="63" t="str">
        <f>IF(ISBLANK(#REF!),"",CONCATENATE(exp_id,"_",tbl_SeqLib[[#This Row],[Well]]))</f>
        <v>_G12</v>
      </c>
    </row>
    <row r="98" spans="1:20" ht="15.75" customHeight="1" thickBot="1" x14ac:dyDescent="0.35">
      <c r="A98" s="30">
        <v>96</v>
      </c>
      <c r="B98" s="42" t="str">
        <f>RIGHT(tbl_SeqLib[[#This Row],[Well]],LEN(tbl_SeqLib[[#This Row],[Well]])-1)</f>
        <v>12</v>
      </c>
      <c r="C98" s="31" t="s">
        <v>231</v>
      </c>
      <c r="D98" s="31"/>
      <c r="E98" s="32"/>
      <c r="F98" s="31"/>
      <c r="G98" s="42"/>
      <c r="H98" s="32" t="s">
        <v>232</v>
      </c>
      <c r="I98" s="70">
        <f>IF(LEN(tbl_SeqLib[[#This Row],[PCR '[DNA'] (ng / µl)]])&gt;0,1,0)</f>
        <v>0</v>
      </c>
      <c r="J98" s="70">
        <f>IF(LEN(tbl_SeqLib[[#This Row],[Sample ID]])&gt;0,1,0)</f>
        <v>0</v>
      </c>
      <c r="K98" s="70">
        <f>IF(SUMIF(tbl_SeqLib[Column],tbl_SeqLib[[#This Row],[Column]],tbl_SeqLib[DNA conc present])&gt;0,1,0)</f>
        <v>0</v>
      </c>
      <c r="L98" s="70">
        <f>IF(SUM(tbl_SeqLib[[#This Row],[DNA conc present]:[Sample ID present]])&gt;0,1,0)</f>
        <v>0</v>
      </c>
      <c r="M98" s="71" t="str">
        <f>IF(LEN(tbl_SeqLib[[#This Row],[PCR '[DNA'] (ng / µl)]])=0,"",IF(pcr_product_targetmass_per_sample/tbl_SeqLib[[#This Row],[PCR '[DNA'] (ng / µl)]]&gt;endrepair_maxvol,endrepair_maxvol,ROUNDUP(SUM(pcr_product_targetmass_per_sample/tbl_SeqLib[[#This Row],[PCR '[DNA'] (ng / µl)]]),1)))</f>
        <v/>
      </c>
      <c r="N98" s="71">
        <f>ROUNDDOWN(_xlfn.MAXIFS(tbl_SeqLib[Exact],tbl_SeqLib[Column],tbl_SeqLib[[#This Row],[Column]]),1)</f>
        <v>0</v>
      </c>
      <c r="O98" s="71" t="e">
        <f>AVERAGE(tbl_SeqLib[Exact])</f>
        <v>#DIV/0!</v>
      </c>
      <c r="P98" s="71">
        <f>MAX(tbl_SeqLib[Exact])</f>
        <v>0</v>
      </c>
      <c r="Q98" s="71" t="str">
        <f>IF(AND(tbl_SeqLib[[#This Row],[Calculate]],LEN(tbl_SeqLib[[#This Row],[PCR product (µl) added (if different from calculated)]])=0),IF(vol_calc=one_per_col,tbl_SeqLib[[#This Row],[Max vol for col]],IF(vol_calc=Max_per_plate,tbl_SeqLib[[#This Row],[Max per plate]],IF(vol_calc=Avg_Per_plate,tbl_SeqLib[[#This Row],[Avg per plate]],"ERROR"))),"")</f>
        <v/>
      </c>
      <c r="R98" s="38"/>
      <c r="S98" s="62" t="str">
        <f>IF(tbl_SeqLib[[#This Row],[Calculate]],SUM(endrepair_maxvol-SUM(tbl_SeqLib[[#This Row],[PCR product (µl) to add (calculated)]:[PCR product (µl) added (if different from calculated)]])),"")</f>
        <v/>
      </c>
      <c r="T98" s="64" t="str">
        <f>IF(ISBLANK(#REF!),"",CONCATENATE(exp_id,"_",tbl_SeqLib[[#This Row],[Well]]))</f>
        <v>_H12</v>
      </c>
    </row>
    <row r="99" spans="1:20" ht="124.8" x14ac:dyDescent="0.3">
      <c r="A99" s="2"/>
      <c r="B99" s="2"/>
      <c r="C99" s="2"/>
      <c r="D99" s="2"/>
      <c r="E99" s="2"/>
      <c r="F99" s="2"/>
      <c r="I99" s="51" t="s">
        <v>317</v>
      </c>
      <c r="J99" s="51"/>
      <c r="K99" s="51" t="s">
        <v>318</v>
      </c>
      <c r="L99" s="51"/>
    </row>
    <row r="100" spans="1:20" x14ac:dyDescent="0.3">
      <c r="A100" s="2"/>
      <c r="B100" s="2"/>
      <c r="C100" s="2"/>
      <c r="D100" s="2"/>
      <c r="E100" s="2"/>
      <c r="F100" s="2"/>
    </row>
    <row r="101" spans="1:20" x14ac:dyDescent="0.3">
      <c r="A101" s="2"/>
      <c r="B101" s="2"/>
      <c r="C101" s="2"/>
      <c r="D101" s="2"/>
      <c r="E101" s="2"/>
      <c r="F101" s="2"/>
    </row>
    <row r="102" spans="1:20" x14ac:dyDescent="0.3">
      <c r="A102" s="2"/>
      <c r="B102" s="2"/>
      <c r="C102" s="2"/>
      <c r="D102" s="2"/>
      <c r="E102" s="2"/>
      <c r="F102" s="2"/>
    </row>
    <row r="103" spans="1:20" x14ac:dyDescent="0.3">
      <c r="A103" s="2"/>
      <c r="B103" s="2"/>
      <c r="C103" s="2"/>
      <c r="D103" s="2"/>
      <c r="E103" s="2"/>
      <c r="F103" s="2"/>
    </row>
    <row r="104" spans="1:20" x14ac:dyDescent="0.3">
      <c r="A104" s="2"/>
      <c r="B104" s="2"/>
      <c r="C104" s="2"/>
      <c r="D104" s="2"/>
      <c r="E104" s="2"/>
      <c r="F104" s="2"/>
    </row>
    <row r="105" spans="1:20" x14ac:dyDescent="0.3">
      <c r="A105" s="2"/>
      <c r="B105" s="2"/>
      <c r="C105" s="2"/>
      <c r="D105" s="2"/>
      <c r="E105" s="2"/>
      <c r="F105" s="2"/>
    </row>
    <row r="106" spans="1:20" x14ac:dyDescent="0.3">
      <c r="A106" s="2"/>
      <c r="B106" s="2"/>
      <c r="C106" s="2"/>
      <c r="D106" s="2"/>
      <c r="E106" s="2"/>
      <c r="F106" s="2"/>
    </row>
    <row r="107" spans="1:20" x14ac:dyDescent="0.3">
      <c r="A107" s="2"/>
      <c r="B107" s="2"/>
      <c r="C107" s="2"/>
      <c r="D107" s="2"/>
      <c r="E107" s="2"/>
      <c r="F107" s="2"/>
    </row>
    <row r="108" spans="1:20" x14ac:dyDescent="0.3">
      <c r="A108" s="2"/>
      <c r="B108" s="2"/>
      <c r="C108" s="2"/>
      <c r="D108" s="2"/>
      <c r="E108" s="2"/>
      <c r="F108" s="2"/>
    </row>
  </sheetData>
  <sheetProtection sheet="1" objects="1" scenarios="1"/>
  <mergeCells count="2">
    <mergeCell ref="D1:F1"/>
    <mergeCell ref="H1:T1"/>
  </mergeCells>
  <phoneticPr fontId="14" type="noConversion"/>
  <conditionalFormatting sqref="D3:G98">
    <cfRule type="expression" dxfId="2" priority="1" stopIfTrue="1">
      <formula>COUNTIF(D3,"")</formula>
    </cfRule>
  </conditionalFormatting>
  <conditionalFormatting sqref="G3:G98">
    <cfRule type="cellIs" dxfId="1" priority="5" operator="between">
      <formula>0</formula>
      <formula>Post_PCR_target_DNA_conc</formula>
    </cfRule>
    <cfRule type="cellIs" dxfId="0" priority="6" operator="greaterThanOrEqual">
      <formula>Post_PCR_target_DNA_conc</formula>
    </cfRule>
  </conditionalFormatting>
  <dataValidations count="2">
    <dataValidation type="textLength" errorStyle="warning" operator="greaterThan" allowBlank="1" showErrorMessage="1" error="The Extraction ID cannot be left blank." prompt="Enter the Extraction ID" sqref="D3:E98" xr:uid="{00000000-0002-0000-0100-000000000000}">
      <formula1>0</formula1>
      <formula2>0</formula2>
    </dataValidation>
    <dataValidation type="decimal" allowBlank="1" showInputMessage="1" showErrorMessage="1" errorTitle="Inconsistent value" error="The entry in this column should be a number that is greater than 0 and less than the max volume allowed for this step." sqref="R3:R98" xr:uid="{2A9AA8ED-9AE0-4469-98D1-1A53ECAE8FAF}">
      <formula1>0</formula1>
      <formula2>endrepair_maxvol</formula2>
    </dataValidation>
  </dataValidations>
  <pageMargins left="0.23611111111111099" right="0.23611111111111099" top="0.74791666666666701" bottom="0.74791666666666701" header="0.511811023622047" footer="0.511811023622047"/>
  <pageSetup paperSize="9" scale="73" fitToHeight="2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operator="greaterThan" allowBlank="1" showErrorMessage="1" error="The Extraction ID cannot be left blank." prompt="Enter the Extraction ID" xr:uid="{90263FD8-A258-4500-8E21-E385F84EA53B}">
          <x14:formula1>
            <xm:f>Reference!$E$23:$E$25</xm:f>
          </x14:formula1>
          <xm:sqref>F3:F98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Q39"/>
  <sheetViews>
    <sheetView tabSelected="1" zoomScaleNormal="100" workbookViewId="0">
      <selection activeCell="A2" sqref="A2"/>
    </sheetView>
  </sheetViews>
  <sheetFormatPr defaultColWidth="8.59765625" defaultRowHeight="15.6" x14ac:dyDescent="0.3"/>
  <cols>
    <col min="1" max="1" width="34.19921875" customWidth="1"/>
    <col min="2" max="2" width="22.09765625" customWidth="1"/>
    <col min="3" max="3" width="33" customWidth="1"/>
    <col min="5" max="6" width="20" customWidth="1"/>
    <col min="7" max="8" width="5.09765625" customWidth="1"/>
    <col min="9" max="9" width="19.69921875" customWidth="1"/>
    <col min="10" max="10" width="8.69921875" customWidth="1"/>
    <col min="11" max="11" width="5.5" customWidth="1"/>
    <col min="12" max="12" width="22.59765625" customWidth="1"/>
    <col min="14" max="14" width="17.69921875" customWidth="1"/>
    <col min="15" max="15" width="28.8984375" customWidth="1"/>
  </cols>
  <sheetData>
    <row r="1" spans="1:13" ht="46.2" x14ac:dyDescent="0.85">
      <c r="A1" s="22" t="s">
        <v>256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</row>
    <row r="2" spans="1:13" ht="33.6" x14ac:dyDescent="0.65">
      <c r="A2" s="45" t="s">
        <v>302</v>
      </c>
      <c r="B2" s="47"/>
      <c r="C2" s="47"/>
      <c r="D2" s="47"/>
      <c r="E2" s="47"/>
      <c r="F2" s="47"/>
      <c r="G2" s="47"/>
      <c r="H2" s="47"/>
      <c r="I2" s="47"/>
      <c r="J2" s="48"/>
      <c r="K2" s="48"/>
      <c r="L2" s="48"/>
      <c r="M2" s="48"/>
    </row>
    <row r="3" spans="1:13" ht="33.6" x14ac:dyDescent="0.65">
      <c r="A3" s="45" t="s">
        <v>300</v>
      </c>
      <c r="B3" s="47"/>
      <c r="C3" s="47"/>
      <c r="D3" s="47"/>
      <c r="E3" s="47"/>
      <c r="F3" s="47"/>
      <c r="G3" s="47"/>
      <c r="H3" s="47"/>
      <c r="I3" s="47"/>
      <c r="J3" s="48"/>
      <c r="K3" s="48"/>
      <c r="L3" s="48"/>
      <c r="M3" s="48"/>
    </row>
    <row r="4" spans="1:13" ht="33.6" x14ac:dyDescent="0.65">
      <c r="A4" s="45"/>
      <c r="B4" s="47"/>
      <c r="C4" s="47"/>
      <c r="D4" s="47"/>
      <c r="E4" s="47"/>
      <c r="F4" s="47"/>
      <c r="G4" s="47"/>
      <c r="H4" s="47"/>
      <c r="I4" s="47"/>
      <c r="J4" s="48"/>
      <c r="K4" s="48"/>
      <c r="L4" s="48"/>
      <c r="M4" s="48"/>
    </row>
    <row r="5" spans="1:13" ht="33.6" x14ac:dyDescent="0.65">
      <c r="A5" s="46" t="s">
        <v>257</v>
      </c>
      <c r="B5" s="47"/>
      <c r="C5" s="47"/>
      <c r="D5" s="47"/>
      <c r="E5" s="47"/>
      <c r="F5" s="47"/>
      <c r="G5" s="47"/>
      <c r="H5" s="47"/>
      <c r="I5" s="47"/>
      <c r="J5" s="48"/>
      <c r="K5" s="48"/>
      <c r="L5" s="48"/>
      <c r="M5" s="48"/>
    </row>
    <row r="6" spans="1:13" ht="31.2" x14ac:dyDescent="0.6">
      <c r="A6" s="23" t="s">
        <v>299</v>
      </c>
      <c r="B6" s="47"/>
      <c r="C6" s="47"/>
      <c r="D6" s="47"/>
      <c r="E6" s="47"/>
      <c r="F6" s="47"/>
      <c r="G6" s="47"/>
      <c r="H6" s="47"/>
      <c r="I6" s="47"/>
      <c r="J6" s="48"/>
      <c r="K6" s="48"/>
      <c r="L6" s="48"/>
      <c r="M6" s="48"/>
    </row>
    <row r="7" spans="1:13" ht="33.6" x14ac:dyDescent="0.65">
      <c r="A7" s="44" t="s">
        <v>301</v>
      </c>
      <c r="B7" s="47"/>
      <c r="C7" s="47"/>
      <c r="D7" s="47"/>
      <c r="E7" s="47"/>
      <c r="F7" s="47"/>
      <c r="G7" s="47"/>
      <c r="H7" s="47"/>
      <c r="I7" s="47"/>
      <c r="J7" s="48"/>
      <c r="K7" s="48"/>
      <c r="L7" s="48"/>
      <c r="M7" s="48"/>
    </row>
    <row r="8" spans="1:13" ht="33.6" x14ac:dyDescent="0.65">
      <c r="A8" s="45" t="s">
        <v>297</v>
      </c>
      <c r="B8" s="47"/>
      <c r="C8" s="47"/>
      <c r="D8" s="47"/>
      <c r="E8" s="47"/>
      <c r="F8" s="47"/>
      <c r="G8" s="47"/>
      <c r="H8" s="47"/>
      <c r="I8" s="47"/>
      <c r="J8" s="48"/>
      <c r="K8" s="48"/>
      <c r="L8" s="48"/>
      <c r="M8" s="48"/>
    </row>
    <row r="14" spans="1:13" ht="46.2" x14ac:dyDescent="0.85">
      <c r="A14" s="22" t="s">
        <v>298</v>
      </c>
    </row>
    <row r="15" spans="1:13" ht="18" x14ac:dyDescent="0.35">
      <c r="A15" s="13" t="s">
        <v>233</v>
      </c>
      <c r="C15" s="14"/>
      <c r="D15" s="14"/>
      <c r="E15" s="13" t="s">
        <v>234</v>
      </c>
      <c r="F15" s="13"/>
    </row>
    <row r="16" spans="1:13" ht="16.2" thickBot="1" x14ac:dyDescent="0.35">
      <c r="A16" s="15" t="s">
        <v>235</v>
      </c>
      <c r="B16" s="16"/>
      <c r="C16" s="16"/>
      <c r="E16" s="35" t="s">
        <v>263</v>
      </c>
      <c r="F16" s="34"/>
    </row>
    <row r="17" spans="1:17" x14ac:dyDescent="0.3">
      <c r="A17" t="s">
        <v>292</v>
      </c>
      <c r="B17">
        <v>15</v>
      </c>
      <c r="C17" s="43" t="s">
        <v>291</v>
      </c>
      <c r="D17" s="14"/>
      <c r="E17" s="34" t="s">
        <v>264</v>
      </c>
      <c r="F17" s="34" t="s">
        <v>235</v>
      </c>
    </row>
    <row r="18" spans="1:17" x14ac:dyDescent="0.3">
      <c r="A18" s="10" t="s">
        <v>274</v>
      </c>
      <c r="B18" s="24">
        <v>200</v>
      </c>
      <c r="C18" t="s">
        <v>270</v>
      </c>
      <c r="D18" s="14"/>
      <c r="E18" t="s">
        <v>260</v>
      </c>
      <c r="F18" t="s">
        <v>265</v>
      </c>
    </row>
    <row r="19" spans="1:17" x14ac:dyDescent="0.3">
      <c r="A19" s="10" t="s">
        <v>275</v>
      </c>
      <c r="B19" s="24">
        <v>10</v>
      </c>
      <c r="C19" t="s">
        <v>236</v>
      </c>
      <c r="E19" t="s">
        <v>262</v>
      </c>
      <c r="F19" t="s">
        <v>266</v>
      </c>
    </row>
    <row r="20" spans="1:17" x14ac:dyDescent="0.3">
      <c r="A20" s="10" t="s">
        <v>281</v>
      </c>
      <c r="B20" s="24">
        <v>800</v>
      </c>
      <c r="C20" t="s">
        <v>270</v>
      </c>
      <c r="E20" t="s">
        <v>261</v>
      </c>
      <c r="F20" t="s">
        <v>267</v>
      </c>
    </row>
    <row r="21" spans="1:17" x14ac:dyDescent="0.3">
      <c r="A21" s="10" t="s">
        <v>294</v>
      </c>
      <c r="B21" s="24">
        <v>10</v>
      </c>
      <c r="C21" t="s">
        <v>236</v>
      </c>
    </row>
    <row r="22" spans="1:17" ht="16.2" thickBot="1" x14ac:dyDescent="0.35">
      <c r="A22" s="10" t="s">
        <v>237</v>
      </c>
      <c r="B22" s="24">
        <v>11</v>
      </c>
      <c r="C22" t="s">
        <v>236</v>
      </c>
      <c r="E22" s="39" t="s">
        <v>284</v>
      </c>
    </row>
    <row r="23" spans="1:17" x14ac:dyDescent="0.3">
      <c r="A23" s="10" t="s">
        <v>290</v>
      </c>
      <c r="B23">
        <f>ROUND(SUM(flowcell_targetmass/flowcell_maxvol),0)</f>
        <v>73</v>
      </c>
      <c r="C23" t="s">
        <v>291</v>
      </c>
      <c r="E23" t="s">
        <v>286</v>
      </c>
    </row>
    <row r="24" spans="1:17" x14ac:dyDescent="0.3">
      <c r="A24" s="10" t="s">
        <v>276</v>
      </c>
      <c r="B24" s="25" t="s">
        <v>260</v>
      </c>
      <c r="C24" t="s">
        <v>268</v>
      </c>
      <c r="E24" t="s">
        <v>287</v>
      </c>
    </row>
    <row r="25" spans="1:17" x14ac:dyDescent="0.3">
      <c r="E25" t="s">
        <v>288</v>
      </c>
    </row>
    <row r="26" spans="1:17" ht="16.2" thickBot="1" x14ac:dyDescent="0.35">
      <c r="A26" s="15" t="s">
        <v>238</v>
      </c>
      <c r="B26" s="16"/>
      <c r="C26" s="16"/>
      <c r="N26" s="14"/>
      <c r="O26" s="14"/>
      <c r="P26" s="14"/>
      <c r="Q26" s="14"/>
    </row>
    <row r="27" spans="1:17" x14ac:dyDescent="0.3">
      <c r="A27" s="10" t="s">
        <v>239</v>
      </c>
      <c r="B27" t="s">
        <v>240</v>
      </c>
    </row>
    <row r="28" spans="1:17" x14ac:dyDescent="0.3">
      <c r="A28" s="10" t="s">
        <v>278</v>
      </c>
      <c r="B28" t="s">
        <v>279</v>
      </c>
    </row>
    <row r="29" spans="1:17" x14ac:dyDescent="0.3">
      <c r="A29" s="10" t="s">
        <v>241</v>
      </c>
      <c r="B29">
        <v>12</v>
      </c>
      <c r="I29" s="17"/>
    </row>
    <row r="30" spans="1:17" x14ac:dyDescent="0.3">
      <c r="I30" s="17"/>
    </row>
    <row r="31" spans="1:17" ht="16.2" thickBot="1" x14ac:dyDescent="0.35">
      <c r="A31" s="15" t="s">
        <v>255</v>
      </c>
      <c r="I31" s="17"/>
    </row>
    <row r="32" spans="1:17" x14ac:dyDescent="0.3">
      <c r="A32" t="s">
        <v>322</v>
      </c>
    </row>
    <row r="33" spans="1:10" x14ac:dyDescent="0.3">
      <c r="A33" s="10" t="s">
        <v>323</v>
      </c>
    </row>
    <row r="34" spans="1:10" x14ac:dyDescent="0.3">
      <c r="A34" s="10"/>
    </row>
    <row r="39" spans="1:10" x14ac:dyDescent="0.3">
      <c r="J39" s="10"/>
    </row>
  </sheetData>
  <sheetProtection sheet="1" objects="1" scenarios="1"/>
  <dataValidations count="1">
    <dataValidation type="list" allowBlank="1" showInputMessage="1" showErrorMessage="1" sqref="B24" xr:uid="{5103F0B0-5A7D-4213-9279-0C438FB60721}">
      <formula1>$E$18:$E$20</formula1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L2"/>
  <sheetViews>
    <sheetView zoomScaleNormal="100" workbookViewId="0">
      <selection activeCell="L3" sqref="L3"/>
    </sheetView>
  </sheetViews>
  <sheetFormatPr defaultColWidth="8.59765625" defaultRowHeight="15.6" x14ac:dyDescent="0.3"/>
  <cols>
    <col min="1" max="1" width="9.09765625" customWidth="1"/>
    <col min="2" max="2" width="11.3984375" customWidth="1"/>
    <col min="3" max="7" width="12.09765625" customWidth="1"/>
    <col min="8" max="8" width="17.296875" customWidth="1"/>
    <col min="9" max="9" width="10.296875" bestFit="1" customWidth="1"/>
  </cols>
  <sheetData>
    <row r="1" spans="1:12" s="10" customFormat="1" ht="46.8" x14ac:dyDescent="0.3">
      <c r="A1" s="10" t="s">
        <v>242</v>
      </c>
      <c r="B1" s="10" t="s">
        <v>243</v>
      </c>
      <c r="C1" s="10" t="s">
        <v>244</v>
      </c>
      <c r="D1" s="10" t="s">
        <v>245</v>
      </c>
      <c r="E1" s="10" t="s">
        <v>277</v>
      </c>
      <c r="F1" s="10" t="s">
        <v>246</v>
      </c>
      <c r="G1" s="10" t="s">
        <v>247</v>
      </c>
      <c r="H1" s="10" t="s">
        <v>248</v>
      </c>
      <c r="I1" s="10" t="s">
        <v>249</v>
      </c>
      <c r="J1" s="10" t="s">
        <v>250</v>
      </c>
      <c r="K1" s="10" t="s">
        <v>293</v>
      </c>
      <c r="L1" s="10" t="s">
        <v>251</v>
      </c>
    </row>
    <row r="2" spans="1:12" x14ac:dyDescent="0.3">
      <c r="A2" t="str">
        <f>IF(LEN(exp_id)=0,"",exp_id)</f>
        <v/>
      </c>
      <c r="B2" t="str">
        <f>IF(LEN(exp_date)=0,"",exp_date)</f>
        <v/>
      </c>
      <c r="C2" t="str">
        <f>IF(LEN(user_name)=0,"",user_name)</f>
        <v/>
      </c>
      <c r="D2" t="str">
        <f>IF(LEN(exp_type)=0,"",exp_type)</f>
        <v>seqlib</v>
      </c>
      <c r="E2" t="str">
        <f>exp_subtype</f>
        <v>rapid</v>
      </c>
      <c r="F2">
        <f>IF(LEN(exp_version)=0,"",exp_version)</f>
        <v>12</v>
      </c>
      <c r="G2" t="str">
        <f>IF(LEN(exp_notes)=0,"",exp_notes)</f>
        <v/>
      </c>
      <c r="H2" t="str">
        <f>IF(LEN(exp_summary)=0,"",exp_summary)</f>
        <v/>
      </c>
      <c r="I2" t="str">
        <f>IF(exp_rxns=0,"",exp_rxns)</f>
        <v/>
      </c>
      <c r="J2" t="str">
        <f>IF(DNAconc_pooled=0,"",DNAconc_pooled)</f>
        <v/>
      </c>
      <c r="K2" t="str">
        <f>IFERROR(SUM(adaptlig_rxn_vol*DNAconc_pooled), "")</f>
        <v/>
      </c>
      <c r="L2" t="str">
        <f>IF(LEN(flowcell_checkpores)=0,"",flowcell_checkpores)</f>
        <v/>
      </c>
    </row>
  </sheetData>
  <sheetProtection algorithmName="SHA-512" hashValue="g2eeDAK4VyrZegSiDnzvGxhLys3PMcBpuANp9M2zPs5GCsUcz0Qvh3DoyxUh++BpjdsFYX/9kffpajo28+sNQw==" saltValue="S3nB6Eece2GvV7iXpaMEsw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E97"/>
  <sheetViews>
    <sheetView zoomScaleNormal="100" workbookViewId="0">
      <selection activeCell="E2" sqref="E2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10.69921875" customWidth="1"/>
    <col min="5" max="5" width="28.09765625" customWidth="1"/>
  </cols>
  <sheetData>
    <row r="1" spans="1:5" x14ac:dyDescent="0.3">
      <c r="A1" t="s">
        <v>252</v>
      </c>
      <c r="B1" t="s">
        <v>253</v>
      </c>
      <c r="C1" t="s">
        <v>285</v>
      </c>
      <c r="D1" t="s">
        <v>254</v>
      </c>
      <c r="E1" t="s">
        <v>280</v>
      </c>
    </row>
    <row r="2" spans="1:5" x14ac:dyDescent="0.3">
      <c r="A2" t="str">
        <f>IF(LEN(Library!D3)=0,"",Library!D3)</f>
        <v/>
      </c>
      <c r="B2" t="str">
        <f>IF(LEN(Library!E3)=0,"",Library!E3)</f>
        <v/>
      </c>
      <c r="C2" t="str">
        <f>IF(LEN(Library!F3)=0,"",Library!F3)</f>
        <v/>
      </c>
      <c r="D2" t="str">
        <f>IF(ISBLANK(Library!D3),"",CONCATENATE("barcode",Library!H3))</f>
        <v/>
      </c>
      <c r="E2" t="str">
        <f>IF(LEN(Library!Q3)=0,"",IF(Library!R3&gt;0,Library!R3,Library!Q3))</f>
        <v/>
      </c>
    </row>
    <row r="3" spans="1:5" x14ac:dyDescent="0.3">
      <c r="A3" t="str">
        <f>IF(LEN(Library!D4)=0,"",Library!D4)</f>
        <v/>
      </c>
      <c r="B3" t="str">
        <f>IF(LEN(Library!E4)=0,"",Library!E4)</f>
        <v/>
      </c>
      <c r="C3" t="str">
        <f>IF(LEN(Library!F4)=0,"",Library!F4)</f>
        <v/>
      </c>
      <c r="D3" t="str">
        <f>IF(ISBLANK(Library!D4),"",CONCATENATE("barcode",Library!H4))</f>
        <v/>
      </c>
      <c r="E3" t="str">
        <f>IF(LEN(Library!Q4)=0,"",IF(Library!R4&gt;0,Library!R4,Library!Q4))</f>
        <v/>
      </c>
    </row>
    <row r="4" spans="1:5" x14ac:dyDescent="0.3">
      <c r="A4" t="str">
        <f>IF(LEN(Library!D5)=0,"",Library!D5)</f>
        <v/>
      </c>
      <c r="B4" t="str">
        <f>IF(LEN(Library!E5)=0,"",Library!E5)</f>
        <v/>
      </c>
      <c r="C4" t="str">
        <f>IF(LEN(Library!F5)=0,"",Library!F5)</f>
        <v/>
      </c>
      <c r="D4" t="str">
        <f>IF(ISBLANK(Library!D5),"",CONCATENATE("barcode",Library!H5))</f>
        <v/>
      </c>
      <c r="E4" t="str">
        <f>IF(LEN(Library!Q5)=0,"",IF(Library!R5&gt;0,Library!R5,Library!Q5))</f>
        <v/>
      </c>
    </row>
    <row r="5" spans="1:5" x14ac:dyDescent="0.3">
      <c r="A5" t="str">
        <f>IF(LEN(Library!D6)=0,"",Library!D6)</f>
        <v/>
      </c>
      <c r="B5" t="str">
        <f>IF(LEN(Library!E6)=0,"",Library!E6)</f>
        <v/>
      </c>
      <c r="C5" t="str">
        <f>IF(LEN(Library!F6)=0,"",Library!F6)</f>
        <v/>
      </c>
      <c r="D5" t="str">
        <f>IF(ISBLANK(Library!D6),"",CONCATENATE("barcode",Library!H6))</f>
        <v/>
      </c>
      <c r="E5" t="str">
        <f>IF(LEN(Library!Q6)=0,"",IF(Library!R6&gt;0,Library!R6,Library!Q6))</f>
        <v/>
      </c>
    </row>
    <row r="6" spans="1:5" x14ac:dyDescent="0.3">
      <c r="A6" t="str">
        <f>IF(LEN(Library!D7)=0,"",Library!D7)</f>
        <v/>
      </c>
      <c r="B6" t="str">
        <f>IF(LEN(Library!E7)=0,"",Library!E7)</f>
        <v/>
      </c>
      <c r="C6" t="str">
        <f>IF(LEN(Library!F7)=0,"",Library!F7)</f>
        <v/>
      </c>
      <c r="D6" t="str">
        <f>IF(ISBLANK(Library!D7),"",CONCATENATE("barcode",Library!H7))</f>
        <v/>
      </c>
      <c r="E6" t="str">
        <f>IF(LEN(Library!Q7)=0,"",IF(Library!R7&gt;0,Library!R7,Library!Q7))</f>
        <v/>
      </c>
    </row>
    <row r="7" spans="1:5" x14ac:dyDescent="0.3">
      <c r="A7" t="str">
        <f>IF(LEN(Library!D8)=0,"",Library!D8)</f>
        <v/>
      </c>
      <c r="B7" t="str">
        <f>IF(LEN(Library!E8)=0,"",Library!E8)</f>
        <v/>
      </c>
      <c r="C7" t="str">
        <f>IF(LEN(Library!F8)=0,"",Library!F8)</f>
        <v/>
      </c>
      <c r="D7" t="str">
        <f>IF(ISBLANK(Library!D8),"",CONCATENATE("barcode",Library!H8))</f>
        <v/>
      </c>
      <c r="E7" t="str">
        <f>IF(LEN(Library!Q8)=0,"",IF(Library!R8&gt;0,Library!R8,Library!Q8))</f>
        <v/>
      </c>
    </row>
    <row r="8" spans="1:5" x14ac:dyDescent="0.3">
      <c r="A8" t="str">
        <f>IF(LEN(Library!D9)=0,"",Library!D9)</f>
        <v/>
      </c>
      <c r="B8" t="str">
        <f>IF(LEN(Library!E9)=0,"",Library!E9)</f>
        <v/>
      </c>
      <c r="C8" t="str">
        <f>IF(LEN(Library!F9)=0,"",Library!F9)</f>
        <v/>
      </c>
      <c r="D8" t="str">
        <f>IF(ISBLANK(Library!D9),"",CONCATENATE("barcode",Library!H9))</f>
        <v/>
      </c>
      <c r="E8" t="str">
        <f>IF(LEN(Library!Q9)=0,"",IF(Library!R9&gt;0,Library!R9,Library!Q9))</f>
        <v/>
      </c>
    </row>
    <row r="9" spans="1:5" x14ac:dyDescent="0.3">
      <c r="A9" t="str">
        <f>IF(LEN(Library!D10)=0,"",Library!D10)</f>
        <v/>
      </c>
      <c r="B9" t="str">
        <f>IF(LEN(Library!E10)=0,"",Library!E10)</f>
        <v/>
      </c>
      <c r="C9" t="str">
        <f>IF(LEN(Library!F10)=0,"",Library!F10)</f>
        <v/>
      </c>
      <c r="D9" t="str">
        <f>IF(ISBLANK(Library!D10),"",CONCATENATE("barcode",Library!H10))</f>
        <v/>
      </c>
      <c r="E9" t="str">
        <f>IF(LEN(Library!Q10)=0,"",IF(Library!R10&gt;0,Library!R10,Library!Q10))</f>
        <v/>
      </c>
    </row>
    <row r="10" spans="1:5" x14ac:dyDescent="0.3">
      <c r="A10" t="str">
        <f>IF(LEN(Library!D11)=0,"",Library!D11)</f>
        <v/>
      </c>
      <c r="B10" t="str">
        <f>IF(LEN(Library!E11)=0,"",Library!E11)</f>
        <v/>
      </c>
      <c r="C10" t="str">
        <f>IF(LEN(Library!F11)=0,"",Library!F11)</f>
        <v/>
      </c>
      <c r="D10" t="str">
        <f>IF(ISBLANK(Library!D11),"",CONCATENATE("barcode",Library!H11))</f>
        <v/>
      </c>
      <c r="E10" t="str">
        <f>IF(LEN(Library!Q11)=0,"",IF(Library!R11&gt;0,Library!R11,Library!Q11))</f>
        <v/>
      </c>
    </row>
    <row r="11" spans="1:5" x14ac:dyDescent="0.3">
      <c r="A11" t="str">
        <f>IF(LEN(Library!D12)=0,"",Library!D12)</f>
        <v/>
      </c>
      <c r="B11" t="str">
        <f>IF(LEN(Library!E12)=0,"",Library!E12)</f>
        <v/>
      </c>
      <c r="C11" t="str">
        <f>IF(LEN(Library!F12)=0,"",Library!F12)</f>
        <v/>
      </c>
      <c r="D11" t="str">
        <f>IF(ISBLANK(Library!D12),"",CONCATENATE("barcode",Library!H12))</f>
        <v/>
      </c>
      <c r="E11" t="str">
        <f>IF(LEN(Library!Q12)=0,"",IF(Library!R12&gt;0,Library!R12,Library!Q12))</f>
        <v/>
      </c>
    </row>
    <row r="12" spans="1:5" x14ac:dyDescent="0.3">
      <c r="A12" t="str">
        <f>IF(LEN(Library!D13)=0,"",Library!D13)</f>
        <v/>
      </c>
      <c r="B12" t="str">
        <f>IF(LEN(Library!E13)=0,"",Library!E13)</f>
        <v/>
      </c>
      <c r="C12" t="str">
        <f>IF(LEN(Library!F13)=0,"",Library!F13)</f>
        <v/>
      </c>
      <c r="D12" t="str">
        <f>IF(ISBLANK(Library!D13),"",CONCATENATE("barcode",Library!H13))</f>
        <v/>
      </c>
      <c r="E12" t="str">
        <f>IF(LEN(Library!Q13)=0,"",IF(Library!R13&gt;0,Library!R13,Library!Q13))</f>
        <v/>
      </c>
    </row>
    <row r="13" spans="1:5" x14ac:dyDescent="0.3">
      <c r="A13" t="str">
        <f>IF(LEN(Library!D14)=0,"",Library!D14)</f>
        <v/>
      </c>
      <c r="B13" t="str">
        <f>IF(LEN(Library!E14)=0,"",Library!E14)</f>
        <v/>
      </c>
      <c r="C13" t="str">
        <f>IF(LEN(Library!F14)=0,"",Library!F14)</f>
        <v/>
      </c>
      <c r="D13" t="str">
        <f>IF(ISBLANK(Library!D14),"",CONCATENATE("barcode",Library!H14))</f>
        <v/>
      </c>
      <c r="E13" t="str">
        <f>IF(LEN(Library!Q14)=0,"",IF(Library!R14&gt;0,Library!R14,Library!Q14))</f>
        <v/>
      </c>
    </row>
    <row r="14" spans="1:5" x14ac:dyDescent="0.3">
      <c r="A14" t="str">
        <f>IF(LEN(Library!D15)=0,"",Library!D15)</f>
        <v/>
      </c>
      <c r="B14" t="str">
        <f>IF(LEN(Library!E15)=0,"",Library!E15)</f>
        <v/>
      </c>
      <c r="C14" t="str">
        <f>IF(LEN(Library!F15)=0,"",Library!F15)</f>
        <v/>
      </c>
      <c r="D14" t="str">
        <f>IF(ISBLANK(Library!D15),"",CONCATENATE("barcode",Library!H15))</f>
        <v/>
      </c>
      <c r="E14" t="str">
        <f>IF(LEN(Library!Q15)=0,"",IF(Library!R15&gt;0,Library!R15,Library!Q15))</f>
        <v/>
      </c>
    </row>
    <row r="15" spans="1:5" x14ac:dyDescent="0.3">
      <c r="A15" t="str">
        <f>IF(LEN(Library!D16)=0,"",Library!D16)</f>
        <v/>
      </c>
      <c r="B15" t="str">
        <f>IF(LEN(Library!E16)=0,"",Library!E16)</f>
        <v/>
      </c>
      <c r="C15" t="str">
        <f>IF(LEN(Library!F16)=0,"",Library!F16)</f>
        <v/>
      </c>
      <c r="D15" t="str">
        <f>IF(ISBLANK(Library!D16),"",CONCATENATE("barcode",Library!H16))</f>
        <v/>
      </c>
      <c r="E15" t="str">
        <f>IF(LEN(Library!Q16)=0,"",IF(Library!R16&gt;0,Library!R16,Library!Q16))</f>
        <v/>
      </c>
    </row>
    <row r="16" spans="1:5" x14ac:dyDescent="0.3">
      <c r="A16" t="str">
        <f>IF(LEN(Library!D17)=0,"",Library!D17)</f>
        <v/>
      </c>
      <c r="B16" t="str">
        <f>IF(LEN(Library!E17)=0,"",Library!E17)</f>
        <v/>
      </c>
      <c r="C16" t="str">
        <f>IF(LEN(Library!F17)=0,"",Library!F17)</f>
        <v/>
      </c>
      <c r="D16" t="str">
        <f>IF(ISBLANK(Library!D17),"",CONCATENATE("barcode",Library!H17))</f>
        <v/>
      </c>
      <c r="E16" t="str">
        <f>IF(LEN(Library!Q17)=0,"",IF(Library!R17&gt;0,Library!R17,Library!Q17))</f>
        <v/>
      </c>
    </row>
    <row r="17" spans="1:5" x14ac:dyDescent="0.3">
      <c r="A17" t="str">
        <f>IF(LEN(Library!D18)=0,"",Library!D18)</f>
        <v/>
      </c>
      <c r="B17" t="str">
        <f>IF(LEN(Library!E18)=0,"",Library!E18)</f>
        <v/>
      </c>
      <c r="C17" t="str">
        <f>IF(LEN(Library!F18)=0,"",Library!F18)</f>
        <v/>
      </c>
      <c r="D17" t="str">
        <f>IF(ISBLANK(Library!D18),"",CONCATENATE("barcode",Library!H18))</f>
        <v/>
      </c>
      <c r="E17" t="str">
        <f>IF(LEN(Library!Q18)=0,"",IF(Library!R18&gt;0,Library!R18,Library!Q18))</f>
        <v/>
      </c>
    </row>
    <row r="18" spans="1:5" x14ac:dyDescent="0.3">
      <c r="A18" t="str">
        <f>IF(LEN(Library!D19)=0,"",Library!D19)</f>
        <v/>
      </c>
      <c r="B18" t="str">
        <f>IF(LEN(Library!E19)=0,"",Library!E19)</f>
        <v/>
      </c>
      <c r="C18" t="str">
        <f>IF(LEN(Library!F19)=0,"",Library!F19)</f>
        <v/>
      </c>
      <c r="D18" t="str">
        <f>IF(ISBLANK(Library!D19),"",CONCATENATE("barcode",Library!H19))</f>
        <v/>
      </c>
      <c r="E18" t="str">
        <f>IF(LEN(Library!Q19)=0,"",IF(Library!R19&gt;0,Library!R19,Library!Q19))</f>
        <v/>
      </c>
    </row>
    <row r="19" spans="1:5" x14ac:dyDescent="0.3">
      <c r="A19" t="str">
        <f>IF(LEN(Library!D20)=0,"",Library!D20)</f>
        <v/>
      </c>
      <c r="B19" t="str">
        <f>IF(LEN(Library!E20)=0,"",Library!E20)</f>
        <v/>
      </c>
      <c r="C19" t="str">
        <f>IF(LEN(Library!F20)=0,"",Library!F20)</f>
        <v/>
      </c>
      <c r="D19" t="str">
        <f>IF(ISBLANK(Library!D20),"",CONCATENATE("barcode",Library!H20))</f>
        <v/>
      </c>
      <c r="E19" t="str">
        <f>IF(LEN(Library!Q20)=0,"",IF(Library!R20&gt;0,Library!R20,Library!Q20))</f>
        <v/>
      </c>
    </row>
    <row r="20" spans="1:5" x14ac:dyDescent="0.3">
      <c r="A20" t="str">
        <f>IF(LEN(Library!D21)=0,"",Library!D21)</f>
        <v/>
      </c>
      <c r="B20" t="str">
        <f>IF(LEN(Library!E21)=0,"",Library!E21)</f>
        <v/>
      </c>
      <c r="C20" t="str">
        <f>IF(LEN(Library!F21)=0,"",Library!F21)</f>
        <v/>
      </c>
      <c r="D20" t="str">
        <f>IF(ISBLANK(Library!D21),"",CONCATENATE("barcode",Library!H21))</f>
        <v/>
      </c>
      <c r="E20" t="str">
        <f>IF(LEN(Library!Q21)=0,"",IF(Library!R21&gt;0,Library!R21,Library!Q21))</f>
        <v/>
      </c>
    </row>
    <row r="21" spans="1:5" x14ac:dyDescent="0.3">
      <c r="A21" t="str">
        <f>IF(LEN(Library!D22)=0,"",Library!D22)</f>
        <v/>
      </c>
      <c r="B21" t="str">
        <f>IF(LEN(Library!E22)=0,"",Library!E22)</f>
        <v/>
      </c>
      <c r="C21" t="str">
        <f>IF(LEN(Library!F22)=0,"",Library!F22)</f>
        <v/>
      </c>
      <c r="D21" t="str">
        <f>IF(ISBLANK(Library!D22),"",CONCATENATE("barcode",Library!H22))</f>
        <v/>
      </c>
      <c r="E21" t="str">
        <f>IF(LEN(Library!Q22)=0,"",IF(Library!R22&gt;0,Library!R22,Library!Q22))</f>
        <v/>
      </c>
    </row>
    <row r="22" spans="1:5" x14ac:dyDescent="0.3">
      <c r="A22" t="str">
        <f>IF(LEN(Library!D23)=0,"",Library!D23)</f>
        <v/>
      </c>
      <c r="B22" t="str">
        <f>IF(LEN(Library!E23)=0,"",Library!E23)</f>
        <v/>
      </c>
      <c r="C22" t="str">
        <f>IF(LEN(Library!F23)=0,"",Library!F23)</f>
        <v/>
      </c>
      <c r="D22" t="str">
        <f>IF(ISBLANK(Library!D23),"",CONCATENATE("barcode",Library!H23))</f>
        <v/>
      </c>
      <c r="E22" t="str">
        <f>IF(LEN(Library!Q23)=0,"",IF(Library!R23&gt;0,Library!R23,Library!Q23))</f>
        <v/>
      </c>
    </row>
    <row r="23" spans="1:5" x14ac:dyDescent="0.3">
      <c r="A23" t="str">
        <f>IF(LEN(Library!D24)=0,"",Library!D24)</f>
        <v/>
      </c>
      <c r="B23" t="str">
        <f>IF(LEN(Library!E24)=0,"",Library!E24)</f>
        <v/>
      </c>
      <c r="C23" t="str">
        <f>IF(LEN(Library!F24)=0,"",Library!F24)</f>
        <v/>
      </c>
      <c r="D23" t="str">
        <f>IF(ISBLANK(Library!D24),"",CONCATENATE("barcode",Library!H24))</f>
        <v/>
      </c>
      <c r="E23" t="str">
        <f>IF(LEN(Library!Q24)=0,"",IF(Library!R24&gt;0,Library!R24,Library!Q24))</f>
        <v/>
      </c>
    </row>
    <row r="24" spans="1:5" x14ac:dyDescent="0.3">
      <c r="A24" t="str">
        <f>IF(LEN(Library!D25)=0,"",Library!D25)</f>
        <v/>
      </c>
      <c r="B24" t="str">
        <f>IF(LEN(Library!E25)=0,"",Library!E25)</f>
        <v/>
      </c>
      <c r="C24" t="str">
        <f>IF(LEN(Library!F25)=0,"",Library!F25)</f>
        <v/>
      </c>
      <c r="D24" t="str">
        <f>IF(ISBLANK(Library!D25),"",CONCATENATE("barcode",Library!H25))</f>
        <v/>
      </c>
      <c r="E24" t="str">
        <f>IF(LEN(Library!Q25)=0,"",IF(Library!R25&gt;0,Library!R25,Library!Q25))</f>
        <v/>
      </c>
    </row>
    <row r="25" spans="1:5" x14ac:dyDescent="0.3">
      <c r="A25" t="str">
        <f>IF(LEN(Library!D26)=0,"",Library!D26)</f>
        <v/>
      </c>
      <c r="B25" t="str">
        <f>IF(LEN(Library!E26)=0,"",Library!E26)</f>
        <v/>
      </c>
      <c r="C25" t="str">
        <f>IF(LEN(Library!F26)=0,"",Library!F26)</f>
        <v/>
      </c>
      <c r="D25" t="str">
        <f>IF(ISBLANK(Library!D26),"",CONCATENATE("barcode",Library!H26))</f>
        <v/>
      </c>
      <c r="E25" t="str">
        <f>IF(LEN(Library!Q26)=0,"",IF(Library!R26&gt;0,Library!R26,Library!Q26))</f>
        <v/>
      </c>
    </row>
    <row r="26" spans="1:5" x14ac:dyDescent="0.3">
      <c r="A26" t="str">
        <f>IF(LEN(Library!D27)=0,"",Library!D27)</f>
        <v/>
      </c>
      <c r="B26" t="str">
        <f>IF(LEN(Library!E27)=0,"",Library!E27)</f>
        <v/>
      </c>
      <c r="C26" t="str">
        <f>IF(LEN(Library!F27)=0,"",Library!F27)</f>
        <v/>
      </c>
      <c r="D26" t="str">
        <f>IF(ISBLANK(Library!D27),"",CONCATENATE("barcode",Library!H27))</f>
        <v/>
      </c>
      <c r="E26" t="str">
        <f>IF(LEN(Library!Q27)=0,"",IF(Library!R27&gt;0,Library!R27,Library!Q27))</f>
        <v/>
      </c>
    </row>
    <row r="27" spans="1:5" x14ac:dyDescent="0.3">
      <c r="A27" t="str">
        <f>IF(LEN(Library!D28)=0,"",Library!D28)</f>
        <v/>
      </c>
      <c r="B27" t="str">
        <f>IF(LEN(Library!E28)=0,"",Library!E28)</f>
        <v/>
      </c>
      <c r="C27" t="str">
        <f>IF(LEN(Library!F28)=0,"",Library!F28)</f>
        <v/>
      </c>
      <c r="D27" t="str">
        <f>IF(ISBLANK(Library!D28),"",CONCATENATE("barcode",Library!H28))</f>
        <v/>
      </c>
      <c r="E27" t="str">
        <f>IF(LEN(Library!Q28)=0,"",IF(Library!R28&gt;0,Library!R28,Library!Q28))</f>
        <v/>
      </c>
    </row>
    <row r="28" spans="1:5" x14ac:dyDescent="0.3">
      <c r="A28" t="str">
        <f>IF(LEN(Library!D29)=0,"",Library!D29)</f>
        <v/>
      </c>
      <c r="B28" t="str">
        <f>IF(LEN(Library!E29)=0,"",Library!E29)</f>
        <v/>
      </c>
      <c r="C28" t="str">
        <f>IF(LEN(Library!F29)=0,"",Library!F29)</f>
        <v/>
      </c>
      <c r="D28" t="str">
        <f>IF(ISBLANK(Library!D29),"",CONCATENATE("barcode",Library!H29))</f>
        <v/>
      </c>
      <c r="E28" t="str">
        <f>IF(LEN(Library!Q29)=0,"",IF(Library!R29&gt;0,Library!R29,Library!Q29))</f>
        <v/>
      </c>
    </row>
    <row r="29" spans="1:5" x14ac:dyDescent="0.3">
      <c r="A29" t="str">
        <f>IF(LEN(Library!D30)=0,"",Library!D30)</f>
        <v/>
      </c>
      <c r="B29" t="str">
        <f>IF(LEN(Library!E30)=0,"",Library!E30)</f>
        <v/>
      </c>
      <c r="C29" t="str">
        <f>IF(LEN(Library!F30)=0,"",Library!F30)</f>
        <v/>
      </c>
      <c r="D29" t="str">
        <f>IF(ISBLANK(Library!D30),"",CONCATENATE("barcode",Library!H30))</f>
        <v/>
      </c>
      <c r="E29" t="str">
        <f>IF(LEN(Library!Q30)=0,"",IF(Library!R30&gt;0,Library!R30,Library!Q30))</f>
        <v/>
      </c>
    </row>
    <row r="30" spans="1:5" x14ac:dyDescent="0.3">
      <c r="A30" t="str">
        <f>IF(LEN(Library!D31)=0,"",Library!D31)</f>
        <v/>
      </c>
      <c r="B30" t="str">
        <f>IF(LEN(Library!E31)=0,"",Library!E31)</f>
        <v/>
      </c>
      <c r="C30" t="str">
        <f>IF(LEN(Library!F31)=0,"",Library!F31)</f>
        <v/>
      </c>
      <c r="D30" t="str">
        <f>IF(ISBLANK(Library!D31),"",CONCATENATE("barcode",Library!H31))</f>
        <v/>
      </c>
      <c r="E30" t="str">
        <f>IF(LEN(Library!Q31)=0,"",IF(Library!R31&gt;0,Library!R31,Library!Q31))</f>
        <v/>
      </c>
    </row>
    <row r="31" spans="1:5" x14ac:dyDescent="0.3">
      <c r="A31" t="str">
        <f>IF(LEN(Library!D32)=0,"",Library!D32)</f>
        <v/>
      </c>
      <c r="B31" t="str">
        <f>IF(LEN(Library!E32)=0,"",Library!E32)</f>
        <v/>
      </c>
      <c r="C31" t="str">
        <f>IF(LEN(Library!F32)=0,"",Library!F32)</f>
        <v/>
      </c>
      <c r="D31" t="str">
        <f>IF(ISBLANK(Library!D32),"",CONCATENATE("barcode",Library!H32))</f>
        <v/>
      </c>
      <c r="E31" t="str">
        <f>IF(LEN(Library!Q32)=0,"",IF(Library!R32&gt;0,Library!R32,Library!Q32))</f>
        <v/>
      </c>
    </row>
    <row r="32" spans="1:5" x14ac:dyDescent="0.3">
      <c r="A32" t="str">
        <f>IF(LEN(Library!D33)=0,"",Library!D33)</f>
        <v/>
      </c>
      <c r="B32" t="str">
        <f>IF(LEN(Library!E33)=0,"",Library!E33)</f>
        <v/>
      </c>
      <c r="C32" t="str">
        <f>IF(LEN(Library!F33)=0,"",Library!F33)</f>
        <v/>
      </c>
      <c r="D32" t="str">
        <f>IF(ISBLANK(Library!D33),"",CONCATENATE("barcode",Library!H33))</f>
        <v/>
      </c>
      <c r="E32" t="str">
        <f>IF(LEN(Library!Q33)=0,"",IF(Library!R33&gt;0,Library!R33,Library!Q33))</f>
        <v/>
      </c>
    </row>
    <row r="33" spans="1:5" x14ac:dyDescent="0.3">
      <c r="A33" t="str">
        <f>IF(LEN(Library!D34)=0,"",Library!D34)</f>
        <v/>
      </c>
      <c r="B33" t="str">
        <f>IF(LEN(Library!E34)=0,"",Library!E34)</f>
        <v/>
      </c>
      <c r="C33" t="str">
        <f>IF(LEN(Library!F34)=0,"",Library!F34)</f>
        <v/>
      </c>
      <c r="D33" t="str">
        <f>IF(ISBLANK(Library!D34),"",CONCATENATE("barcode",Library!H34))</f>
        <v/>
      </c>
      <c r="E33" t="str">
        <f>IF(LEN(Library!Q34)=0,"",IF(Library!R34&gt;0,Library!R34,Library!Q34))</f>
        <v/>
      </c>
    </row>
    <row r="34" spans="1:5" x14ac:dyDescent="0.3">
      <c r="A34" t="str">
        <f>IF(LEN(Library!D35)=0,"",Library!D35)</f>
        <v/>
      </c>
      <c r="B34" t="str">
        <f>IF(LEN(Library!E35)=0,"",Library!E35)</f>
        <v/>
      </c>
      <c r="C34" t="str">
        <f>IF(LEN(Library!F35)=0,"",Library!F35)</f>
        <v/>
      </c>
      <c r="D34" t="str">
        <f>IF(ISBLANK(Library!D35),"",CONCATENATE("barcode",Library!H35))</f>
        <v/>
      </c>
      <c r="E34" t="str">
        <f>IF(LEN(Library!Q35)=0,"",IF(Library!R35&gt;0,Library!R35,Library!Q35))</f>
        <v/>
      </c>
    </row>
    <row r="35" spans="1:5" x14ac:dyDescent="0.3">
      <c r="A35" t="str">
        <f>IF(LEN(Library!D36)=0,"",Library!D36)</f>
        <v/>
      </c>
      <c r="B35" t="str">
        <f>IF(LEN(Library!E36)=0,"",Library!E36)</f>
        <v/>
      </c>
      <c r="C35" t="str">
        <f>IF(LEN(Library!F36)=0,"",Library!F36)</f>
        <v/>
      </c>
      <c r="D35" t="str">
        <f>IF(ISBLANK(Library!D36),"",CONCATENATE("barcode",Library!H36))</f>
        <v/>
      </c>
      <c r="E35" t="str">
        <f>IF(LEN(Library!Q36)=0,"",IF(Library!R36&gt;0,Library!R36,Library!Q36))</f>
        <v/>
      </c>
    </row>
    <row r="36" spans="1:5" x14ac:dyDescent="0.3">
      <c r="A36" t="str">
        <f>IF(LEN(Library!D37)=0,"",Library!D37)</f>
        <v/>
      </c>
      <c r="B36" t="str">
        <f>IF(LEN(Library!E37)=0,"",Library!E37)</f>
        <v/>
      </c>
      <c r="C36" t="str">
        <f>IF(LEN(Library!F37)=0,"",Library!F37)</f>
        <v/>
      </c>
      <c r="D36" t="str">
        <f>IF(ISBLANK(Library!D37),"",CONCATENATE("barcode",Library!H37))</f>
        <v/>
      </c>
      <c r="E36" t="str">
        <f>IF(LEN(Library!Q37)=0,"",IF(Library!R37&gt;0,Library!R37,Library!Q37))</f>
        <v/>
      </c>
    </row>
    <row r="37" spans="1:5" x14ac:dyDescent="0.3">
      <c r="A37" t="str">
        <f>IF(LEN(Library!D38)=0,"",Library!D38)</f>
        <v/>
      </c>
      <c r="B37" t="str">
        <f>IF(LEN(Library!E38)=0,"",Library!E38)</f>
        <v/>
      </c>
      <c r="C37" t="str">
        <f>IF(LEN(Library!F38)=0,"",Library!F38)</f>
        <v/>
      </c>
      <c r="D37" t="str">
        <f>IF(ISBLANK(Library!D38),"",CONCATENATE("barcode",Library!H38))</f>
        <v/>
      </c>
      <c r="E37" t="str">
        <f>IF(LEN(Library!Q38)=0,"",IF(Library!R38&gt;0,Library!R38,Library!Q38))</f>
        <v/>
      </c>
    </row>
    <row r="38" spans="1:5" x14ac:dyDescent="0.3">
      <c r="A38" t="str">
        <f>IF(LEN(Library!D39)=0,"",Library!D39)</f>
        <v/>
      </c>
      <c r="B38" t="str">
        <f>IF(LEN(Library!E39)=0,"",Library!E39)</f>
        <v/>
      </c>
      <c r="C38" t="str">
        <f>IF(LEN(Library!F39)=0,"",Library!F39)</f>
        <v/>
      </c>
      <c r="D38" t="str">
        <f>IF(ISBLANK(Library!D39),"",CONCATENATE("barcode",Library!H39))</f>
        <v/>
      </c>
      <c r="E38" t="str">
        <f>IF(LEN(Library!Q39)=0,"",IF(Library!R39&gt;0,Library!R39,Library!Q39))</f>
        <v/>
      </c>
    </row>
    <row r="39" spans="1:5" x14ac:dyDescent="0.3">
      <c r="A39" t="str">
        <f>IF(LEN(Library!D40)=0,"",Library!D40)</f>
        <v/>
      </c>
      <c r="B39" t="str">
        <f>IF(LEN(Library!E40)=0,"",Library!E40)</f>
        <v/>
      </c>
      <c r="C39" t="str">
        <f>IF(LEN(Library!F40)=0,"",Library!F40)</f>
        <v/>
      </c>
      <c r="D39" t="str">
        <f>IF(ISBLANK(Library!D40),"",CONCATENATE("barcode",Library!H40))</f>
        <v/>
      </c>
      <c r="E39" t="str">
        <f>IF(LEN(Library!Q40)=0,"",IF(Library!R40&gt;0,Library!R40,Library!Q40))</f>
        <v/>
      </c>
    </row>
    <row r="40" spans="1:5" x14ac:dyDescent="0.3">
      <c r="A40" t="str">
        <f>IF(LEN(Library!D41)=0,"",Library!D41)</f>
        <v/>
      </c>
      <c r="B40" t="str">
        <f>IF(LEN(Library!E41)=0,"",Library!E41)</f>
        <v/>
      </c>
      <c r="C40" t="str">
        <f>IF(LEN(Library!F41)=0,"",Library!F41)</f>
        <v/>
      </c>
      <c r="D40" t="str">
        <f>IF(ISBLANK(Library!D41),"",CONCATENATE("barcode",Library!H41))</f>
        <v/>
      </c>
      <c r="E40" t="str">
        <f>IF(LEN(Library!Q41)=0,"",IF(Library!R41&gt;0,Library!R41,Library!Q41))</f>
        <v/>
      </c>
    </row>
    <row r="41" spans="1:5" x14ac:dyDescent="0.3">
      <c r="A41" t="str">
        <f>IF(LEN(Library!D42)=0,"",Library!D42)</f>
        <v/>
      </c>
      <c r="B41" t="str">
        <f>IF(LEN(Library!E42)=0,"",Library!E42)</f>
        <v/>
      </c>
      <c r="C41" t="str">
        <f>IF(LEN(Library!F42)=0,"",Library!F42)</f>
        <v/>
      </c>
      <c r="D41" t="str">
        <f>IF(ISBLANK(Library!D42),"",CONCATENATE("barcode",Library!H42))</f>
        <v/>
      </c>
      <c r="E41" t="str">
        <f>IF(LEN(Library!Q42)=0,"",IF(Library!R42&gt;0,Library!R42,Library!Q42))</f>
        <v/>
      </c>
    </row>
    <row r="42" spans="1:5" x14ac:dyDescent="0.3">
      <c r="A42" t="str">
        <f>IF(LEN(Library!D43)=0,"",Library!D43)</f>
        <v/>
      </c>
      <c r="B42" t="str">
        <f>IF(LEN(Library!E43)=0,"",Library!E43)</f>
        <v/>
      </c>
      <c r="C42" t="str">
        <f>IF(LEN(Library!F43)=0,"",Library!F43)</f>
        <v/>
      </c>
      <c r="D42" t="str">
        <f>IF(ISBLANK(Library!D43),"",CONCATENATE("barcode",Library!H43))</f>
        <v/>
      </c>
      <c r="E42" t="str">
        <f>IF(LEN(Library!Q43)=0,"",IF(Library!R43&gt;0,Library!R43,Library!Q43))</f>
        <v/>
      </c>
    </row>
    <row r="43" spans="1:5" x14ac:dyDescent="0.3">
      <c r="A43" t="str">
        <f>IF(LEN(Library!D44)=0,"",Library!D44)</f>
        <v/>
      </c>
      <c r="B43" t="str">
        <f>IF(LEN(Library!E44)=0,"",Library!E44)</f>
        <v/>
      </c>
      <c r="C43" t="str">
        <f>IF(LEN(Library!F44)=0,"",Library!F44)</f>
        <v/>
      </c>
      <c r="D43" t="str">
        <f>IF(ISBLANK(Library!D44),"",CONCATENATE("barcode",Library!H44))</f>
        <v/>
      </c>
      <c r="E43" t="str">
        <f>IF(LEN(Library!Q44)=0,"",IF(Library!R44&gt;0,Library!R44,Library!Q44))</f>
        <v/>
      </c>
    </row>
    <row r="44" spans="1:5" x14ac:dyDescent="0.3">
      <c r="A44" t="str">
        <f>IF(LEN(Library!D45)=0,"",Library!D45)</f>
        <v/>
      </c>
      <c r="B44" t="str">
        <f>IF(LEN(Library!E45)=0,"",Library!E45)</f>
        <v/>
      </c>
      <c r="C44" t="str">
        <f>IF(LEN(Library!F45)=0,"",Library!F45)</f>
        <v/>
      </c>
      <c r="D44" t="str">
        <f>IF(ISBLANK(Library!D45),"",CONCATENATE("barcode",Library!H45))</f>
        <v/>
      </c>
      <c r="E44" t="str">
        <f>IF(LEN(Library!Q45)=0,"",IF(Library!R45&gt;0,Library!R45,Library!Q45))</f>
        <v/>
      </c>
    </row>
    <row r="45" spans="1:5" x14ac:dyDescent="0.3">
      <c r="A45" t="str">
        <f>IF(LEN(Library!D46)=0,"",Library!D46)</f>
        <v/>
      </c>
      <c r="B45" t="str">
        <f>IF(LEN(Library!E46)=0,"",Library!E46)</f>
        <v/>
      </c>
      <c r="C45" t="str">
        <f>IF(LEN(Library!F46)=0,"",Library!F46)</f>
        <v/>
      </c>
      <c r="D45" t="str">
        <f>IF(ISBLANK(Library!D46),"",CONCATENATE("barcode",Library!H46))</f>
        <v/>
      </c>
      <c r="E45" t="str">
        <f>IF(LEN(Library!Q46)=0,"",IF(Library!R46&gt;0,Library!R46,Library!Q46))</f>
        <v/>
      </c>
    </row>
    <row r="46" spans="1:5" x14ac:dyDescent="0.3">
      <c r="A46" t="str">
        <f>IF(LEN(Library!D47)=0,"",Library!D47)</f>
        <v/>
      </c>
      <c r="B46" t="str">
        <f>IF(LEN(Library!E47)=0,"",Library!E47)</f>
        <v/>
      </c>
      <c r="C46" t="str">
        <f>IF(LEN(Library!F47)=0,"",Library!F47)</f>
        <v/>
      </c>
      <c r="D46" t="str">
        <f>IF(ISBLANK(Library!D47),"",CONCATENATE("barcode",Library!H47))</f>
        <v/>
      </c>
      <c r="E46" t="str">
        <f>IF(LEN(Library!Q47)=0,"",IF(Library!R47&gt;0,Library!R47,Library!Q47))</f>
        <v/>
      </c>
    </row>
    <row r="47" spans="1:5" x14ac:dyDescent="0.3">
      <c r="A47" t="str">
        <f>IF(LEN(Library!D48)=0,"",Library!D48)</f>
        <v/>
      </c>
      <c r="B47" t="str">
        <f>IF(LEN(Library!E48)=0,"",Library!E48)</f>
        <v/>
      </c>
      <c r="C47" t="str">
        <f>IF(LEN(Library!F48)=0,"",Library!F48)</f>
        <v/>
      </c>
      <c r="D47" t="str">
        <f>IF(ISBLANK(Library!D48),"",CONCATENATE("barcode",Library!H48))</f>
        <v/>
      </c>
      <c r="E47" t="str">
        <f>IF(LEN(Library!Q48)=0,"",IF(Library!R48&gt;0,Library!R48,Library!Q48))</f>
        <v/>
      </c>
    </row>
    <row r="48" spans="1:5" x14ac:dyDescent="0.3">
      <c r="A48" t="str">
        <f>IF(LEN(Library!D49)=0,"",Library!D49)</f>
        <v/>
      </c>
      <c r="B48" t="str">
        <f>IF(LEN(Library!E49)=0,"",Library!E49)</f>
        <v/>
      </c>
      <c r="C48" t="str">
        <f>IF(LEN(Library!F49)=0,"",Library!F49)</f>
        <v/>
      </c>
      <c r="D48" t="str">
        <f>IF(ISBLANK(Library!D49),"",CONCATENATE("barcode",Library!H49))</f>
        <v/>
      </c>
      <c r="E48" t="str">
        <f>IF(LEN(Library!Q49)=0,"",IF(Library!R49&gt;0,Library!R49,Library!Q49))</f>
        <v/>
      </c>
    </row>
    <row r="49" spans="1:5" x14ac:dyDescent="0.3">
      <c r="A49" t="str">
        <f>IF(LEN(Library!D50)=0,"",Library!D50)</f>
        <v/>
      </c>
      <c r="B49" t="str">
        <f>IF(LEN(Library!E50)=0,"",Library!E50)</f>
        <v/>
      </c>
      <c r="C49" t="str">
        <f>IF(LEN(Library!F50)=0,"",Library!F50)</f>
        <v/>
      </c>
      <c r="D49" t="str">
        <f>IF(ISBLANK(Library!D50),"",CONCATENATE("barcode",Library!H50))</f>
        <v/>
      </c>
      <c r="E49" t="str">
        <f>IF(LEN(Library!Q50)=0,"",IF(Library!R50&gt;0,Library!R50,Library!Q50))</f>
        <v/>
      </c>
    </row>
    <row r="50" spans="1:5" x14ac:dyDescent="0.3">
      <c r="A50" t="str">
        <f>IF(LEN(Library!D51)=0,"",Library!D51)</f>
        <v/>
      </c>
      <c r="B50" t="str">
        <f>IF(LEN(Library!E51)=0,"",Library!E51)</f>
        <v/>
      </c>
      <c r="C50" t="str">
        <f>IF(LEN(Library!F51)=0,"",Library!F51)</f>
        <v/>
      </c>
      <c r="D50" t="str">
        <f>IF(ISBLANK(Library!D51),"",CONCATENATE("barcode",Library!H51))</f>
        <v/>
      </c>
      <c r="E50" t="str">
        <f>IF(LEN(Library!Q51)=0,"",IF(Library!R51&gt;0,Library!R51,Library!Q51))</f>
        <v/>
      </c>
    </row>
    <row r="51" spans="1:5" x14ac:dyDescent="0.3">
      <c r="A51" t="str">
        <f>IF(LEN(Library!D52)=0,"",Library!D52)</f>
        <v/>
      </c>
      <c r="B51" t="str">
        <f>IF(LEN(Library!E52)=0,"",Library!E52)</f>
        <v/>
      </c>
      <c r="C51" t="str">
        <f>IF(LEN(Library!F52)=0,"",Library!F52)</f>
        <v/>
      </c>
      <c r="D51" t="str">
        <f>IF(ISBLANK(Library!D52),"",CONCATENATE("barcode",Library!H52))</f>
        <v/>
      </c>
      <c r="E51" t="str">
        <f>IF(LEN(Library!Q52)=0,"",IF(Library!R52&gt;0,Library!R52,Library!Q52))</f>
        <v/>
      </c>
    </row>
    <row r="52" spans="1:5" x14ac:dyDescent="0.3">
      <c r="A52" t="str">
        <f>IF(LEN(Library!D53)=0,"",Library!D53)</f>
        <v/>
      </c>
      <c r="B52" t="str">
        <f>IF(LEN(Library!E53)=0,"",Library!E53)</f>
        <v/>
      </c>
      <c r="C52" t="str">
        <f>IF(LEN(Library!F53)=0,"",Library!F53)</f>
        <v/>
      </c>
      <c r="D52" t="str">
        <f>IF(ISBLANK(Library!D53),"",CONCATENATE("barcode",Library!H53))</f>
        <v/>
      </c>
      <c r="E52" t="str">
        <f>IF(LEN(Library!Q53)=0,"",IF(Library!R53&gt;0,Library!R53,Library!Q53))</f>
        <v/>
      </c>
    </row>
    <row r="53" spans="1:5" x14ac:dyDescent="0.3">
      <c r="A53" t="str">
        <f>IF(LEN(Library!D54)=0,"",Library!D54)</f>
        <v/>
      </c>
      <c r="B53" t="str">
        <f>IF(LEN(Library!E54)=0,"",Library!E54)</f>
        <v/>
      </c>
      <c r="C53" t="str">
        <f>IF(LEN(Library!F54)=0,"",Library!F54)</f>
        <v/>
      </c>
      <c r="D53" t="str">
        <f>IF(ISBLANK(Library!D54),"",CONCATENATE("barcode",Library!H54))</f>
        <v/>
      </c>
      <c r="E53" t="str">
        <f>IF(LEN(Library!Q54)=0,"",IF(Library!R54&gt;0,Library!R54,Library!Q54))</f>
        <v/>
      </c>
    </row>
    <row r="54" spans="1:5" x14ac:dyDescent="0.3">
      <c r="A54" t="str">
        <f>IF(LEN(Library!D55)=0,"",Library!D55)</f>
        <v/>
      </c>
      <c r="B54" t="str">
        <f>IF(LEN(Library!E55)=0,"",Library!E55)</f>
        <v/>
      </c>
      <c r="C54" t="str">
        <f>IF(LEN(Library!F55)=0,"",Library!F55)</f>
        <v/>
      </c>
      <c r="D54" t="str">
        <f>IF(ISBLANK(Library!D55),"",CONCATENATE("barcode",Library!H55))</f>
        <v/>
      </c>
      <c r="E54" t="str">
        <f>IF(LEN(Library!Q55)=0,"",IF(Library!R55&gt;0,Library!R55,Library!Q55))</f>
        <v/>
      </c>
    </row>
    <row r="55" spans="1:5" x14ac:dyDescent="0.3">
      <c r="A55" t="str">
        <f>IF(LEN(Library!D56)=0,"",Library!D56)</f>
        <v/>
      </c>
      <c r="B55" t="str">
        <f>IF(LEN(Library!E56)=0,"",Library!E56)</f>
        <v/>
      </c>
      <c r="C55" t="str">
        <f>IF(LEN(Library!F56)=0,"",Library!F56)</f>
        <v/>
      </c>
      <c r="D55" t="str">
        <f>IF(ISBLANK(Library!D56),"",CONCATENATE("barcode",Library!H56))</f>
        <v/>
      </c>
      <c r="E55" t="str">
        <f>IF(LEN(Library!Q56)=0,"",IF(Library!R56&gt;0,Library!R56,Library!Q56))</f>
        <v/>
      </c>
    </row>
    <row r="56" spans="1:5" x14ac:dyDescent="0.3">
      <c r="A56" t="str">
        <f>IF(LEN(Library!D57)=0,"",Library!D57)</f>
        <v/>
      </c>
      <c r="B56" t="str">
        <f>IF(LEN(Library!E57)=0,"",Library!E57)</f>
        <v/>
      </c>
      <c r="C56" t="str">
        <f>IF(LEN(Library!F57)=0,"",Library!F57)</f>
        <v/>
      </c>
      <c r="D56" t="str">
        <f>IF(ISBLANK(Library!D57),"",CONCATENATE("barcode",Library!H57))</f>
        <v/>
      </c>
      <c r="E56" t="str">
        <f>IF(LEN(Library!Q57)=0,"",IF(Library!R57&gt;0,Library!R57,Library!Q57))</f>
        <v/>
      </c>
    </row>
    <row r="57" spans="1:5" x14ac:dyDescent="0.3">
      <c r="A57" t="str">
        <f>IF(LEN(Library!D58)=0,"",Library!D58)</f>
        <v/>
      </c>
      <c r="B57" t="str">
        <f>IF(LEN(Library!E58)=0,"",Library!E58)</f>
        <v/>
      </c>
      <c r="C57" t="str">
        <f>IF(LEN(Library!F58)=0,"",Library!F58)</f>
        <v/>
      </c>
      <c r="D57" t="str">
        <f>IF(ISBLANK(Library!D58),"",CONCATENATE("barcode",Library!H58))</f>
        <v/>
      </c>
      <c r="E57" t="str">
        <f>IF(LEN(Library!Q58)=0,"",IF(Library!R58&gt;0,Library!R58,Library!Q58))</f>
        <v/>
      </c>
    </row>
    <row r="58" spans="1:5" x14ac:dyDescent="0.3">
      <c r="A58" t="str">
        <f>IF(LEN(Library!D59)=0,"",Library!D59)</f>
        <v/>
      </c>
      <c r="B58" t="str">
        <f>IF(LEN(Library!E59)=0,"",Library!E59)</f>
        <v/>
      </c>
      <c r="C58" t="str">
        <f>IF(LEN(Library!F59)=0,"",Library!F59)</f>
        <v/>
      </c>
      <c r="D58" t="str">
        <f>IF(ISBLANK(Library!D59),"",CONCATENATE("barcode",Library!H59))</f>
        <v/>
      </c>
      <c r="E58" t="str">
        <f>IF(LEN(Library!Q59)=0,"",IF(Library!R59&gt;0,Library!R59,Library!Q59))</f>
        <v/>
      </c>
    </row>
    <row r="59" spans="1:5" x14ac:dyDescent="0.3">
      <c r="A59" t="str">
        <f>IF(LEN(Library!D60)=0,"",Library!D60)</f>
        <v/>
      </c>
      <c r="B59" t="str">
        <f>IF(LEN(Library!E60)=0,"",Library!E60)</f>
        <v/>
      </c>
      <c r="C59" t="str">
        <f>IF(LEN(Library!F60)=0,"",Library!F60)</f>
        <v/>
      </c>
      <c r="D59" t="str">
        <f>IF(ISBLANK(Library!D60),"",CONCATENATE("barcode",Library!H60))</f>
        <v/>
      </c>
      <c r="E59" t="str">
        <f>IF(LEN(Library!Q60)=0,"",IF(Library!R60&gt;0,Library!R60,Library!Q60))</f>
        <v/>
      </c>
    </row>
    <row r="60" spans="1:5" x14ac:dyDescent="0.3">
      <c r="A60" t="str">
        <f>IF(LEN(Library!D61)=0,"",Library!D61)</f>
        <v/>
      </c>
      <c r="B60" t="str">
        <f>IF(LEN(Library!E61)=0,"",Library!E61)</f>
        <v/>
      </c>
      <c r="C60" t="str">
        <f>IF(LEN(Library!F61)=0,"",Library!F61)</f>
        <v/>
      </c>
      <c r="D60" t="str">
        <f>IF(ISBLANK(Library!D61),"",CONCATENATE("barcode",Library!H61))</f>
        <v/>
      </c>
      <c r="E60" t="str">
        <f>IF(LEN(Library!Q61)=0,"",IF(Library!R61&gt;0,Library!R61,Library!Q61))</f>
        <v/>
      </c>
    </row>
    <row r="61" spans="1:5" x14ac:dyDescent="0.3">
      <c r="A61" t="str">
        <f>IF(LEN(Library!D62)=0,"",Library!D62)</f>
        <v/>
      </c>
      <c r="B61" t="str">
        <f>IF(LEN(Library!E62)=0,"",Library!E62)</f>
        <v/>
      </c>
      <c r="C61" t="str">
        <f>IF(LEN(Library!F62)=0,"",Library!F62)</f>
        <v/>
      </c>
      <c r="D61" t="str">
        <f>IF(ISBLANK(Library!D62),"",CONCATENATE("barcode",Library!H62))</f>
        <v/>
      </c>
      <c r="E61" t="str">
        <f>IF(LEN(Library!Q62)=0,"",IF(Library!R62&gt;0,Library!R62,Library!Q62))</f>
        <v/>
      </c>
    </row>
    <row r="62" spans="1:5" x14ac:dyDescent="0.3">
      <c r="A62" t="str">
        <f>IF(LEN(Library!D63)=0,"",Library!D63)</f>
        <v/>
      </c>
      <c r="B62" t="str">
        <f>IF(LEN(Library!E63)=0,"",Library!E63)</f>
        <v/>
      </c>
      <c r="C62" t="str">
        <f>IF(LEN(Library!F63)=0,"",Library!F63)</f>
        <v/>
      </c>
      <c r="D62" t="str">
        <f>IF(ISBLANK(Library!D63),"",CONCATENATE("barcode",Library!H63))</f>
        <v/>
      </c>
      <c r="E62" t="str">
        <f>IF(LEN(Library!Q63)=0,"",IF(Library!R63&gt;0,Library!R63,Library!Q63))</f>
        <v/>
      </c>
    </row>
    <row r="63" spans="1:5" x14ac:dyDescent="0.3">
      <c r="A63" t="str">
        <f>IF(LEN(Library!D64)=0,"",Library!D64)</f>
        <v/>
      </c>
      <c r="B63" t="str">
        <f>IF(LEN(Library!E64)=0,"",Library!E64)</f>
        <v/>
      </c>
      <c r="C63" t="str">
        <f>IF(LEN(Library!F64)=0,"",Library!F64)</f>
        <v/>
      </c>
      <c r="D63" t="str">
        <f>IF(ISBLANK(Library!D64),"",CONCATENATE("barcode",Library!H64))</f>
        <v/>
      </c>
      <c r="E63" t="str">
        <f>IF(LEN(Library!Q64)=0,"",IF(Library!R64&gt;0,Library!R64,Library!Q64))</f>
        <v/>
      </c>
    </row>
    <row r="64" spans="1:5" x14ac:dyDescent="0.3">
      <c r="A64" t="str">
        <f>IF(LEN(Library!D65)=0,"",Library!D65)</f>
        <v/>
      </c>
      <c r="B64" t="str">
        <f>IF(LEN(Library!E65)=0,"",Library!E65)</f>
        <v/>
      </c>
      <c r="C64" t="str">
        <f>IF(LEN(Library!F65)=0,"",Library!F65)</f>
        <v/>
      </c>
      <c r="D64" t="str">
        <f>IF(ISBLANK(Library!D65),"",CONCATENATE("barcode",Library!H65))</f>
        <v/>
      </c>
      <c r="E64" t="str">
        <f>IF(LEN(Library!Q65)=0,"",IF(Library!R65&gt;0,Library!R65,Library!Q65))</f>
        <v/>
      </c>
    </row>
    <row r="65" spans="1:5" x14ac:dyDescent="0.3">
      <c r="A65" t="str">
        <f>IF(LEN(Library!D66)=0,"",Library!D66)</f>
        <v/>
      </c>
      <c r="B65" t="str">
        <f>IF(LEN(Library!E66)=0,"",Library!E66)</f>
        <v/>
      </c>
      <c r="C65" t="str">
        <f>IF(LEN(Library!F66)=0,"",Library!F66)</f>
        <v/>
      </c>
      <c r="D65" t="str">
        <f>IF(ISBLANK(Library!D66),"",CONCATENATE("barcode",Library!H66))</f>
        <v/>
      </c>
      <c r="E65" t="str">
        <f>IF(LEN(Library!Q66)=0,"",IF(Library!R66&gt;0,Library!R66,Library!Q66))</f>
        <v/>
      </c>
    </row>
    <row r="66" spans="1:5" x14ac:dyDescent="0.3">
      <c r="A66" t="str">
        <f>IF(LEN(Library!D67)=0,"",Library!D67)</f>
        <v/>
      </c>
      <c r="B66" t="str">
        <f>IF(LEN(Library!E67)=0,"",Library!E67)</f>
        <v/>
      </c>
      <c r="C66" t="str">
        <f>IF(LEN(Library!F67)=0,"",Library!F67)</f>
        <v/>
      </c>
      <c r="D66" t="str">
        <f>IF(ISBLANK(Library!D67),"",CONCATENATE("barcode",Library!H67))</f>
        <v/>
      </c>
      <c r="E66" t="str">
        <f>IF(LEN(Library!Q67)=0,"",IF(Library!R67&gt;0,Library!R67,Library!Q67))</f>
        <v/>
      </c>
    </row>
    <row r="67" spans="1:5" x14ac:dyDescent="0.3">
      <c r="A67" t="str">
        <f>IF(LEN(Library!D68)=0,"",Library!D68)</f>
        <v/>
      </c>
      <c r="B67" t="str">
        <f>IF(LEN(Library!E68)=0,"",Library!E68)</f>
        <v/>
      </c>
      <c r="C67" t="str">
        <f>IF(LEN(Library!F68)=0,"",Library!F68)</f>
        <v/>
      </c>
      <c r="D67" t="str">
        <f>IF(ISBLANK(Library!D68),"",CONCATENATE("barcode",Library!H68))</f>
        <v/>
      </c>
      <c r="E67" t="str">
        <f>IF(LEN(Library!Q68)=0,"",IF(Library!R68&gt;0,Library!R68,Library!Q68))</f>
        <v/>
      </c>
    </row>
    <row r="68" spans="1:5" x14ac:dyDescent="0.3">
      <c r="A68" t="str">
        <f>IF(LEN(Library!D69)=0,"",Library!D69)</f>
        <v/>
      </c>
      <c r="B68" t="str">
        <f>IF(LEN(Library!E69)=0,"",Library!E69)</f>
        <v/>
      </c>
      <c r="C68" t="str">
        <f>IF(LEN(Library!F69)=0,"",Library!F69)</f>
        <v/>
      </c>
      <c r="D68" t="str">
        <f>IF(ISBLANK(Library!D69),"",CONCATENATE("barcode",Library!H69))</f>
        <v/>
      </c>
      <c r="E68" t="str">
        <f>IF(LEN(Library!Q69)=0,"",IF(Library!R69&gt;0,Library!R69,Library!Q69))</f>
        <v/>
      </c>
    </row>
    <row r="69" spans="1:5" x14ac:dyDescent="0.3">
      <c r="A69" t="str">
        <f>IF(LEN(Library!D70)=0,"",Library!D70)</f>
        <v/>
      </c>
      <c r="B69" t="str">
        <f>IF(LEN(Library!E70)=0,"",Library!E70)</f>
        <v/>
      </c>
      <c r="C69" t="str">
        <f>IF(LEN(Library!F70)=0,"",Library!F70)</f>
        <v/>
      </c>
      <c r="D69" t="str">
        <f>IF(ISBLANK(Library!D70),"",CONCATENATE("barcode",Library!H70))</f>
        <v/>
      </c>
      <c r="E69" t="str">
        <f>IF(LEN(Library!Q70)=0,"",IF(Library!R70&gt;0,Library!R70,Library!Q70))</f>
        <v/>
      </c>
    </row>
    <row r="70" spans="1:5" x14ac:dyDescent="0.3">
      <c r="A70" t="str">
        <f>IF(LEN(Library!D71)=0,"",Library!D71)</f>
        <v/>
      </c>
      <c r="B70" t="str">
        <f>IF(LEN(Library!E71)=0,"",Library!E71)</f>
        <v/>
      </c>
      <c r="C70" t="str">
        <f>IF(LEN(Library!F71)=0,"",Library!F71)</f>
        <v/>
      </c>
      <c r="D70" t="str">
        <f>IF(ISBLANK(Library!D71),"",CONCATENATE("barcode",Library!H71))</f>
        <v/>
      </c>
      <c r="E70" t="str">
        <f>IF(LEN(Library!Q71)=0,"",IF(Library!R71&gt;0,Library!R71,Library!Q71))</f>
        <v/>
      </c>
    </row>
    <row r="71" spans="1:5" x14ac:dyDescent="0.3">
      <c r="A71" t="str">
        <f>IF(LEN(Library!D72)=0,"",Library!D72)</f>
        <v/>
      </c>
      <c r="B71" t="str">
        <f>IF(LEN(Library!E72)=0,"",Library!E72)</f>
        <v/>
      </c>
      <c r="C71" t="str">
        <f>IF(LEN(Library!F72)=0,"",Library!F72)</f>
        <v/>
      </c>
      <c r="D71" t="str">
        <f>IF(ISBLANK(Library!D72),"",CONCATENATE("barcode",Library!H72))</f>
        <v/>
      </c>
      <c r="E71" t="str">
        <f>IF(LEN(Library!Q72)=0,"",IF(Library!R72&gt;0,Library!R72,Library!Q72))</f>
        <v/>
      </c>
    </row>
    <row r="72" spans="1:5" x14ac:dyDescent="0.3">
      <c r="A72" t="str">
        <f>IF(LEN(Library!D73)=0,"",Library!D73)</f>
        <v/>
      </c>
      <c r="B72" t="str">
        <f>IF(LEN(Library!E73)=0,"",Library!E73)</f>
        <v/>
      </c>
      <c r="C72" t="str">
        <f>IF(LEN(Library!F73)=0,"",Library!F73)</f>
        <v/>
      </c>
      <c r="D72" t="str">
        <f>IF(ISBLANK(Library!D73),"",CONCATENATE("barcode",Library!H73))</f>
        <v/>
      </c>
      <c r="E72" t="str">
        <f>IF(LEN(Library!Q73)=0,"",IF(Library!R73&gt;0,Library!R73,Library!Q73))</f>
        <v/>
      </c>
    </row>
    <row r="73" spans="1:5" x14ac:dyDescent="0.3">
      <c r="A73" t="str">
        <f>IF(LEN(Library!D74)=0,"",Library!D74)</f>
        <v/>
      </c>
      <c r="B73" t="str">
        <f>IF(LEN(Library!E74)=0,"",Library!E74)</f>
        <v/>
      </c>
      <c r="C73" t="str">
        <f>IF(LEN(Library!F74)=0,"",Library!F74)</f>
        <v/>
      </c>
      <c r="D73" t="str">
        <f>IF(ISBLANK(Library!D74),"",CONCATENATE("barcode",Library!H74))</f>
        <v/>
      </c>
      <c r="E73" t="str">
        <f>IF(LEN(Library!Q74)=0,"",IF(Library!R74&gt;0,Library!R74,Library!Q74))</f>
        <v/>
      </c>
    </row>
    <row r="74" spans="1:5" x14ac:dyDescent="0.3">
      <c r="A74" t="str">
        <f>IF(LEN(Library!D75)=0,"",Library!D75)</f>
        <v/>
      </c>
      <c r="B74" t="str">
        <f>IF(LEN(Library!E75)=0,"",Library!E75)</f>
        <v/>
      </c>
      <c r="C74" t="str">
        <f>IF(LEN(Library!F75)=0,"",Library!F75)</f>
        <v/>
      </c>
      <c r="D74" t="str">
        <f>IF(ISBLANK(Library!D75),"",CONCATENATE("barcode",Library!H75))</f>
        <v/>
      </c>
      <c r="E74" t="str">
        <f>IF(LEN(Library!Q75)=0,"",IF(Library!R75&gt;0,Library!R75,Library!Q75))</f>
        <v/>
      </c>
    </row>
    <row r="75" spans="1:5" x14ac:dyDescent="0.3">
      <c r="A75" t="str">
        <f>IF(LEN(Library!D76)=0,"",Library!D76)</f>
        <v/>
      </c>
      <c r="B75" t="str">
        <f>IF(LEN(Library!E76)=0,"",Library!E76)</f>
        <v/>
      </c>
      <c r="C75" t="str">
        <f>IF(LEN(Library!F76)=0,"",Library!F76)</f>
        <v/>
      </c>
      <c r="D75" t="str">
        <f>IF(ISBLANK(Library!D76),"",CONCATENATE("barcode",Library!H76))</f>
        <v/>
      </c>
      <c r="E75" t="str">
        <f>IF(LEN(Library!Q76)=0,"",IF(Library!R76&gt;0,Library!R76,Library!Q76))</f>
        <v/>
      </c>
    </row>
    <row r="76" spans="1:5" x14ac:dyDescent="0.3">
      <c r="A76" t="str">
        <f>IF(LEN(Library!D77)=0,"",Library!D77)</f>
        <v/>
      </c>
      <c r="B76" t="str">
        <f>IF(LEN(Library!E77)=0,"",Library!E77)</f>
        <v/>
      </c>
      <c r="C76" t="str">
        <f>IF(LEN(Library!F77)=0,"",Library!F77)</f>
        <v/>
      </c>
      <c r="D76" t="str">
        <f>IF(ISBLANK(Library!D77),"",CONCATENATE("barcode",Library!H77))</f>
        <v/>
      </c>
      <c r="E76" t="str">
        <f>IF(LEN(Library!Q77)=0,"",IF(Library!R77&gt;0,Library!R77,Library!Q77))</f>
        <v/>
      </c>
    </row>
    <row r="77" spans="1:5" x14ac:dyDescent="0.3">
      <c r="A77" t="str">
        <f>IF(LEN(Library!D78)=0,"",Library!D78)</f>
        <v/>
      </c>
      <c r="B77" t="str">
        <f>IF(LEN(Library!E78)=0,"",Library!E78)</f>
        <v/>
      </c>
      <c r="C77" t="str">
        <f>IF(LEN(Library!F78)=0,"",Library!F78)</f>
        <v/>
      </c>
      <c r="D77" t="str">
        <f>IF(ISBLANK(Library!D78),"",CONCATENATE("barcode",Library!H78))</f>
        <v/>
      </c>
      <c r="E77" t="str">
        <f>IF(LEN(Library!Q78)=0,"",IF(Library!R78&gt;0,Library!R78,Library!Q78))</f>
        <v/>
      </c>
    </row>
    <row r="78" spans="1:5" x14ac:dyDescent="0.3">
      <c r="A78" t="str">
        <f>IF(LEN(Library!D79)=0,"",Library!D79)</f>
        <v/>
      </c>
      <c r="B78" t="str">
        <f>IF(LEN(Library!E79)=0,"",Library!E79)</f>
        <v/>
      </c>
      <c r="C78" t="str">
        <f>IF(LEN(Library!F79)=0,"",Library!F79)</f>
        <v/>
      </c>
      <c r="D78" t="str">
        <f>IF(ISBLANK(Library!D79),"",CONCATENATE("barcode",Library!H79))</f>
        <v/>
      </c>
      <c r="E78" t="str">
        <f>IF(LEN(Library!Q79)=0,"",IF(Library!R79&gt;0,Library!R79,Library!Q79))</f>
        <v/>
      </c>
    </row>
    <row r="79" spans="1:5" x14ac:dyDescent="0.3">
      <c r="A79" t="str">
        <f>IF(LEN(Library!D80)=0,"",Library!D80)</f>
        <v/>
      </c>
      <c r="B79" t="str">
        <f>IF(LEN(Library!E80)=0,"",Library!E80)</f>
        <v/>
      </c>
      <c r="C79" t="str">
        <f>IF(LEN(Library!F80)=0,"",Library!F80)</f>
        <v/>
      </c>
      <c r="D79" t="str">
        <f>IF(ISBLANK(Library!D80),"",CONCATENATE("barcode",Library!H80))</f>
        <v/>
      </c>
      <c r="E79" t="str">
        <f>IF(LEN(Library!Q80)=0,"",IF(Library!R80&gt;0,Library!R80,Library!Q80))</f>
        <v/>
      </c>
    </row>
    <row r="80" spans="1:5" x14ac:dyDescent="0.3">
      <c r="A80" t="str">
        <f>IF(LEN(Library!D81)=0,"",Library!D81)</f>
        <v/>
      </c>
      <c r="B80" t="str">
        <f>IF(LEN(Library!E81)=0,"",Library!E81)</f>
        <v/>
      </c>
      <c r="C80" t="str">
        <f>IF(LEN(Library!F81)=0,"",Library!F81)</f>
        <v/>
      </c>
      <c r="D80" t="str">
        <f>IF(ISBLANK(Library!D81),"",CONCATENATE("barcode",Library!H81))</f>
        <v/>
      </c>
      <c r="E80" t="str">
        <f>IF(LEN(Library!Q81)=0,"",IF(Library!R81&gt;0,Library!R81,Library!Q81))</f>
        <v/>
      </c>
    </row>
    <row r="81" spans="1:5" x14ac:dyDescent="0.3">
      <c r="A81" t="str">
        <f>IF(LEN(Library!D82)=0,"",Library!D82)</f>
        <v/>
      </c>
      <c r="B81" t="str">
        <f>IF(LEN(Library!E82)=0,"",Library!E82)</f>
        <v/>
      </c>
      <c r="C81" t="str">
        <f>IF(LEN(Library!F82)=0,"",Library!F82)</f>
        <v/>
      </c>
      <c r="D81" t="str">
        <f>IF(ISBLANK(Library!D82),"",CONCATENATE("barcode",Library!H82))</f>
        <v/>
      </c>
      <c r="E81" t="str">
        <f>IF(LEN(Library!Q82)=0,"",IF(Library!R82&gt;0,Library!R82,Library!Q82))</f>
        <v/>
      </c>
    </row>
    <row r="82" spans="1:5" x14ac:dyDescent="0.3">
      <c r="A82" t="str">
        <f>IF(LEN(Library!D83)=0,"",Library!D83)</f>
        <v/>
      </c>
      <c r="B82" t="str">
        <f>IF(LEN(Library!E83)=0,"",Library!E83)</f>
        <v/>
      </c>
      <c r="C82" t="str">
        <f>IF(LEN(Library!F83)=0,"",Library!F83)</f>
        <v/>
      </c>
      <c r="D82" t="str">
        <f>IF(ISBLANK(Library!D83),"",CONCATENATE("barcode",Library!H83))</f>
        <v/>
      </c>
      <c r="E82" t="str">
        <f>IF(LEN(Library!Q83)=0,"",IF(Library!R83&gt;0,Library!R83,Library!Q83))</f>
        <v/>
      </c>
    </row>
    <row r="83" spans="1:5" x14ac:dyDescent="0.3">
      <c r="A83" t="str">
        <f>IF(LEN(Library!D84)=0,"",Library!D84)</f>
        <v/>
      </c>
      <c r="B83" t="str">
        <f>IF(LEN(Library!E84)=0,"",Library!E84)</f>
        <v/>
      </c>
      <c r="C83" t="str">
        <f>IF(LEN(Library!F84)=0,"",Library!F84)</f>
        <v/>
      </c>
      <c r="D83" t="str">
        <f>IF(ISBLANK(Library!D84),"",CONCATENATE("barcode",Library!H84))</f>
        <v/>
      </c>
      <c r="E83" t="str">
        <f>IF(LEN(Library!Q84)=0,"",IF(Library!R84&gt;0,Library!R84,Library!Q84))</f>
        <v/>
      </c>
    </row>
    <row r="84" spans="1:5" x14ac:dyDescent="0.3">
      <c r="A84" t="str">
        <f>IF(LEN(Library!D85)=0,"",Library!D85)</f>
        <v/>
      </c>
      <c r="B84" t="str">
        <f>IF(LEN(Library!E85)=0,"",Library!E85)</f>
        <v/>
      </c>
      <c r="C84" t="str">
        <f>IF(LEN(Library!F85)=0,"",Library!F85)</f>
        <v/>
      </c>
      <c r="D84" t="str">
        <f>IF(ISBLANK(Library!D85),"",CONCATENATE("barcode",Library!H85))</f>
        <v/>
      </c>
      <c r="E84" t="str">
        <f>IF(LEN(Library!Q85)=0,"",IF(Library!R85&gt;0,Library!R85,Library!Q85))</f>
        <v/>
      </c>
    </row>
    <row r="85" spans="1:5" x14ac:dyDescent="0.3">
      <c r="A85" t="str">
        <f>IF(LEN(Library!D86)=0,"",Library!D86)</f>
        <v/>
      </c>
      <c r="B85" t="str">
        <f>IF(LEN(Library!E86)=0,"",Library!E86)</f>
        <v/>
      </c>
      <c r="C85" t="str">
        <f>IF(LEN(Library!F86)=0,"",Library!F86)</f>
        <v/>
      </c>
      <c r="D85" t="str">
        <f>IF(ISBLANK(Library!D86),"",CONCATENATE("barcode",Library!H86))</f>
        <v/>
      </c>
      <c r="E85" t="str">
        <f>IF(LEN(Library!Q86)=0,"",IF(Library!R86&gt;0,Library!R86,Library!Q86))</f>
        <v/>
      </c>
    </row>
    <row r="86" spans="1:5" x14ac:dyDescent="0.3">
      <c r="A86" t="str">
        <f>IF(LEN(Library!D87)=0,"",Library!D87)</f>
        <v/>
      </c>
      <c r="B86" t="str">
        <f>IF(LEN(Library!E87)=0,"",Library!E87)</f>
        <v/>
      </c>
      <c r="C86" t="str">
        <f>IF(LEN(Library!F87)=0,"",Library!F87)</f>
        <v/>
      </c>
      <c r="D86" t="str">
        <f>IF(ISBLANK(Library!D87),"",CONCATENATE("barcode",Library!H87))</f>
        <v/>
      </c>
      <c r="E86" t="str">
        <f>IF(LEN(Library!Q87)=0,"",IF(Library!R87&gt;0,Library!R87,Library!Q87))</f>
        <v/>
      </c>
    </row>
    <row r="87" spans="1:5" x14ac:dyDescent="0.3">
      <c r="A87" t="str">
        <f>IF(LEN(Library!D88)=0,"",Library!D88)</f>
        <v/>
      </c>
      <c r="B87" t="str">
        <f>IF(LEN(Library!E88)=0,"",Library!E88)</f>
        <v/>
      </c>
      <c r="C87" t="str">
        <f>IF(LEN(Library!F88)=0,"",Library!F88)</f>
        <v/>
      </c>
      <c r="D87" t="str">
        <f>IF(ISBLANK(Library!D88),"",CONCATENATE("barcode",Library!H88))</f>
        <v/>
      </c>
      <c r="E87" t="str">
        <f>IF(LEN(Library!Q88)=0,"",IF(Library!R88&gt;0,Library!R88,Library!Q88))</f>
        <v/>
      </c>
    </row>
    <row r="88" spans="1:5" x14ac:dyDescent="0.3">
      <c r="A88" t="str">
        <f>IF(LEN(Library!D89)=0,"",Library!D89)</f>
        <v/>
      </c>
      <c r="B88" t="str">
        <f>IF(LEN(Library!E89)=0,"",Library!E89)</f>
        <v/>
      </c>
      <c r="C88" t="str">
        <f>IF(LEN(Library!F89)=0,"",Library!F89)</f>
        <v/>
      </c>
      <c r="D88" t="str">
        <f>IF(ISBLANK(Library!D89),"",CONCATENATE("barcode",Library!H89))</f>
        <v/>
      </c>
      <c r="E88" t="str">
        <f>IF(LEN(Library!Q89)=0,"",IF(Library!R89&gt;0,Library!R89,Library!Q89))</f>
        <v/>
      </c>
    </row>
    <row r="89" spans="1:5" x14ac:dyDescent="0.3">
      <c r="A89" t="str">
        <f>IF(LEN(Library!D90)=0,"",Library!D90)</f>
        <v/>
      </c>
      <c r="B89" t="str">
        <f>IF(LEN(Library!E90)=0,"",Library!E90)</f>
        <v/>
      </c>
      <c r="C89" t="str">
        <f>IF(LEN(Library!F90)=0,"",Library!F90)</f>
        <v/>
      </c>
      <c r="D89" t="str">
        <f>IF(ISBLANK(Library!D90),"",CONCATENATE("barcode",Library!H90))</f>
        <v/>
      </c>
      <c r="E89" t="str">
        <f>IF(LEN(Library!Q90)=0,"",IF(Library!R90&gt;0,Library!R90,Library!Q90))</f>
        <v/>
      </c>
    </row>
    <row r="90" spans="1:5" x14ac:dyDescent="0.3">
      <c r="A90" t="str">
        <f>IF(LEN(Library!D91)=0,"",Library!D91)</f>
        <v/>
      </c>
      <c r="B90" t="str">
        <f>IF(LEN(Library!E91)=0,"",Library!E91)</f>
        <v/>
      </c>
      <c r="C90" t="str">
        <f>IF(LEN(Library!F91)=0,"",Library!F91)</f>
        <v/>
      </c>
      <c r="D90" t="str">
        <f>IF(ISBLANK(Library!D91),"",CONCATENATE("barcode",Library!H91))</f>
        <v/>
      </c>
      <c r="E90" t="str">
        <f>IF(LEN(Library!Q91)=0,"",IF(Library!R91&gt;0,Library!R91,Library!Q91))</f>
        <v/>
      </c>
    </row>
    <row r="91" spans="1:5" x14ac:dyDescent="0.3">
      <c r="A91" t="str">
        <f>IF(LEN(Library!D92)=0,"",Library!D92)</f>
        <v/>
      </c>
      <c r="B91" t="str">
        <f>IF(LEN(Library!E92)=0,"",Library!E92)</f>
        <v/>
      </c>
      <c r="C91" t="str">
        <f>IF(LEN(Library!F92)=0,"",Library!F92)</f>
        <v/>
      </c>
      <c r="D91" t="str">
        <f>IF(ISBLANK(Library!D92),"",CONCATENATE("barcode",Library!H92))</f>
        <v/>
      </c>
      <c r="E91" t="str">
        <f>IF(LEN(Library!Q92)=0,"",IF(Library!R92&gt;0,Library!R92,Library!Q92))</f>
        <v/>
      </c>
    </row>
    <row r="92" spans="1:5" x14ac:dyDescent="0.3">
      <c r="A92" t="str">
        <f>IF(LEN(Library!D93)=0,"",Library!D93)</f>
        <v/>
      </c>
      <c r="B92" t="str">
        <f>IF(LEN(Library!E93)=0,"",Library!E93)</f>
        <v/>
      </c>
      <c r="C92" t="str">
        <f>IF(LEN(Library!F93)=0,"",Library!F93)</f>
        <v/>
      </c>
      <c r="D92" t="str">
        <f>IF(ISBLANK(Library!D93),"",CONCATENATE("barcode",Library!H93))</f>
        <v/>
      </c>
      <c r="E92" t="str">
        <f>IF(LEN(Library!Q93)=0,"",IF(Library!R93&gt;0,Library!R93,Library!Q93))</f>
        <v/>
      </c>
    </row>
    <row r="93" spans="1:5" x14ac:dyDescent="0.3">
      <c r="A93" t="str">
        <f>IF(LEN(Library!D94)=0,"",Library!D94)</f>
        <v/>
      </c>
      <c r="B93" t="str">
        <f>IF(LEN(Library!E94)=0,"",Library!E94)</f>
        <v/>
      </c>
      <c r="C93" t="str">
        <f>IF(LEN(Library!F94)=0,"",Library!F94)</f>
        <v/>
      </c>
      <c r="D93" t="str">
        <f>IF(ISBLANK(Library!D94),"",CONCATENATE("barcode",Library!H94))</f>
        <v/>
      </c>
      <c r="E93" t="str">
        <f>IF(LEN(Library!Q94)=0,"",IF(Library!R94&gt;0,Library!R94,Library!Q94))</f>
        <v/>
      </c>
    </row>
    <row r="94" spans="1:5" x14ac:dyDescent="0.3">
      <c r="A94" t="str">
        <f>IF(LEN(Library!D95)=0,"",Library!D95)</f>
        <v/>
      </c>
      <c r="B94" t="str">
        <f>IF(LEN(Library!E95)=0,"",Library!E95)</f>
        <v/>
      </c>
      <c r="C94" t="str">
        <f>IF(LEN(Library!F95)=0,"",Library!F95)</f>
        <v/>
      </c>
      <c r="D94" t="str">
        <f>IF(ISBLANK(Library!D95),"",CONCATENATE("barcode",Library!H95))</f>
        <v/>
      </c>
      <c r="E94" t="str">
        <f>IF(LEN(Library!Q95)=0,"",IF(Library!R95&gt;0,Library!R95,Library!Q95))</f>
        <v/>
      </c>
    </row>
    <row r="95" spans="1:5" x14ac:dyDescent="0.3">
      <c r="A95" t="str">
        <f>IF(LEN(Library!D96)=0,"",Library!D96)</f>
        <v/>
      </c>
      <c r="B95" t="str">
        <f>IF(LEN(Library!E96)=0,"",Library!E96)</f>
        <v/>
      </c>
      <c r="C95" t="str">
        <f>IF(LEN(Library!F96)=0,"",Library!F96)</f>
        <v/>
      </c>
      <c r="D95" t="str">
        <f>IF(ISBLANK(Library!D96),"",CONCATENATE("barcode",Library!H96))</f>
        <v/>
      </c>
      <c r="E95" t="str">
        <f>IF(LEN(Library!Q96)=0,"",IF(Library!R96&gt;0,Library!R96,Library!Q96))</f>
        <v/>
      </c>
    </row>
    <row r="96" spans="1:5" x14ac:dyDescent="0.3">
      <c r="A96" t="str">
        <f>IF(LEN(Library!D97)=0,"",Library!D97)</f>
        <v/>
      </c>
      <c r="B96" t="str">
        <f>IF(LEN(Library!E97)=0,"",Library!E97)</f>
        <v/>
      </c>
      <c r="C96" t="str">
        <f>IF(LEN(Library!F97)=0,"",Library!F97)</f>
        <v/>
      </c>
      <c r="D96" t="str">
        <f>IF(ISBLANK(Library!D97),"",CONCATENATE("barcode",Library!H97))</f>
        <v/>
      </c>
      <c r="E96" t="str">
        <f>IF(LEN(Library!Q97)=0,"",IF(Library!R97&gt;0,Library!R97,Library!Q97))</f>
        <v/>
      </c>
    </row>
    <row r="97" spans="1:5" x14ac:dyDescent="0.3">
      <c r="A97" t="str">
        <f>IF(LEN(Library!D98)=0,"",Library!D98)</f>
        <v/>
      </c>
      <c r="B97" t="str">
        <f>IF(LEN(Library!E98)=0,"",Library!E98)</f>
        <v/>
      </c>
      <c r="C97" t="str">
        <f>IF(LEN(Library!F98)=0,"",Library!F98)</f>
        <v/>
      </c>
      <c r="D97" t="str">
        <f>IF(ISBLANK(Library!D98),"",CONCATENATE("barcode",Library!H98))</f>
        <v/>
      </c>
      <c r="E97" t="str">
        <f>IF(LEN(Library!Q98)=0,"",IF(Library!R98&gt;0,Library!R98,Library!Q98))</f>
        <v/>
      </c>
    </row>
  </sheetData>
  <sheetProtection algorithmName="SHA-512" hashValue="FsOQxXU/skHx4nhVIi3Y9utPiMEB5TOe5Ja1UhxqvbRDg8QGC3OD2QzOXWTXRPMF+HiGlVX3VnvdlLlJN3DEgw==" saltValue="23dR/dXH66lutHGx/tv6hw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25</vt:i4>
      </vt:variant>
    </vt:vector>
  </HeadingPairs>
  <TitlesOfParts>
    <vt:vector size="30" baseType="lpstr">
      <vt:lpstr>Assay</vt:lpstr>
      <vt:lpstr>Library</vt:lpstr>
      <vt:lpstr>Reference</vt:lpstr>
      <vt:lpstr>expt_metadata</vt:lpstr>
      <vt:lpstr>rxn_metadata</vt:lpstr>
      <vt:lpstr>adaptlig_maxvol_ul</vt:lpstr>
      <vt:lpstr>adaptlig_rxn_vol</vt:lpstr>
      <vt:lpstr>Avg_Per_plate</vt:lpstr>
      <vt:lpstr>DNAconc_pooled</vt:lpstr>
      <vt:lpstr>endrepair_maxvol</vt:lpstr>
      <vt:lpstr>exp_date</vt:lpstr>
      <vt:lpstr>exp_id</vt:lpstr>
      <vt:lpstr>exp_notes</vt:lpstr>
      <vt:lpstr>exp_rxns</vt:lpstr>
      <vt:lpstr>exp_subtype</vt:lpstr>
      <vt:lpstr>exp_summary</vt:lpstr>
      <vt:lpstr>exp_type</vt:lpstr>
      <vt:lpstr>exp_version</vt:lpstr>
      <vt:lpstr>flowcell_checkpores</vt:lpstr>
      <vt:lpstr>flowcell_maxvol</vt:lpstr>
      <vt:lpstr>flowcell_targetmass</vt:lpstr>
      <vt:lpstr>library_dna_loaded_ul</vt:lpstr>
      <vt:lpstr>Max_per_plate</vt:lpstr>
      <vt:lpstr>min_final_pooled_DNA_conc</vt:lpstr>
      <vt:lpstr>one_per_col</vt:lpstr>
      <vt:lpstr>pcr_product_targetmass_per_sample</vt:lpstr>
      <vt:lpstr>Post_PCR_target_DNA_conc</vt:lpstr>
      <vt:lpstr>user_initials</vt:lpstr>
      <vt:lpstr>user_name</vt:lpstr>
      <vt:lpstr>vol_calc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2025-07-28T08:13:31Z</cp:lastPrinted>
  <dcterms:created xsi:type="dcterms:W3CDTF">2022-03-21T12:22:51Z</dcterms:created>
  <dcterms:modified xsi:type="dcterms:W3CDTF">2025-11-07T20:29:01Z</dcterms:modified>
  <dc:language>en-GB</dc:language>
</cp:coreProperties>
</file>