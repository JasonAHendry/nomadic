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git\nomadic\experiment_templates\"/>
    </mc:Choice>
  </mc:AlternateContent>
  <xr:revisionPtr revIDLastSave="0" documentId="13_ncr:1_{D56D7ED4-C876-46CF-A5DB-ECD79C30661D}" xr6:coauthVersionLast="47" xr6:coauthVersionMax="47" xr10:uidLastSave="{00000000-0000-0000-0000-000000000000}"/>
  <bookViews>
    <workbookView xWindow="-108" yWindow="-108" windowWidth="27288" windowHeight="17532" tabRatio="500" xr2:uid="{00000000-000D-0000-FFFF-FFFF00000000}"/>
  </bookViews>
  <sheets>
    <sheet name="Library" sheetId="2" r:id="rId1"/>
    <sheet name="nomadic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A2" i="6"/>
  <c r="C7" i="2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</calcChain>
</file>

<file path=xl/sharedStrings.xml><?xml version="1.0" encoding="utf-8"?>
<sst xmlns="http://schemas.openxmlformats.org/spreadsheetml/2006/main" count="212" uniqueCount="212">
  <si>
    <t>Date:</t>
  </si>
  <si>
    <t>(YYYY-MM-DD)</t>
  </si>
  <si>
    <t>Exp Number:</t>
  </si>
  <si>
    <t>(user created three digit ID)</t>
  </si>
  <si>
    <t>Exp Name:</t>
  </si>
  <si>
    <t>Well</t>
  </si>
  <si>
    <t>PCR [DNA] (ng / µl)</t>
  </si>
  <si>
    <t>Barcode#</t>
  </si>
  <si>
    <t>A1</t>
  </si>
  <si>
    <t>01</t>
  </si>
  <si>
    <t>B1</t>
  </si>
  <si>
    <t>02</t>
  </si>
  <si>
    <t>C1</t>
  </si>
  <si>
    <t>03</t>
  </si>
  <si>
    <t>D1</t>
  </si>
  <si>
    <t>04</t>
  </si>
  <si>
    <t>E1</t>
  </si>
  <si>
    <t>05</t>
  </si>
  <si>
    <t>F1</t>
  </si>
  <si>
    <t>06</t>
  </si>
  <si>
    <t>G1</t>
  </si>
  <si>
    <t>07</t>
  </si>
  <si>
    <t>H1</t>
  </si>
  <si>
    <t>08</t>
  </si>
  <si>
    <t>A2</t>
  </si>
  <si>
    <t>09</t>
  </si>
  <si>
    <t>B2</t>
  </si>
  <si>
    <t>10</t>
  </si>
  <si>
    <t>C2</t>
  </si>
  <si>
    <t>11</t>
  </si>
  <si>
    <t>D2</t>
  </si>
  <si>
    <t>12</t>
  </si>
  <si>
    <t>E2</t>
  </si>
  <si>
    <t>13</t>
  </si>
  <si>
    <t>F2</t>
  </si>
  <si>
    <t>14</t>
  </si>
  <si>
    <t>G2</t>
  </si>
  <si>
    <t>15</t>
  </si>
  <si>
    <t>H2</t>
  </si>
  <si>
    <t>16</t>
  </si>
  <si>
    <t>A3</t>
  </si>
  <si>
    <t>17</t>
  </si>
  <si>
    <t>B3</t>
  </si>
  <si>
    <t>18</t>
  </si>
  <si>
    <t>C3</t>
  </si>
  <si>
    <t>19</t>
  </si>
  <si>
    <t>D3</t>
  </si>
  <si>
    <t>20</t>
  </si>
  <si>
    <t>E3</t>
  </si>
  <si>
    <t>21</t>
  </si>
  <si>
    <t>F3</t>
  </si>
  <si>
    <t>22</t>
  </si>
  <si>
    <t>G3</t>
  </si>
  <si>
    <t>23</t>
  </si>
  <si>
    <t>H3</t>
  </si>
  <si>
    <t>24</t>
  </si>
  <si>
    <t>A4</t>
  </si>
  <si>
    <t>25</t>
  </si>
  <si>
    <t>B4</t>
  </si>
  <si>
    <t>26</t>
  </si>
  <si>
    <t>C4</t>
  </si>
  <si>
    <t>27</t>
  </si>
  <si>
    <t>D4</t>
  </si>
  <si>
    <t>28</t>
  </si>
  <si>
    <t>E4</t>
  </si>
  <si>
    <t>29</t>
  </si>
  <si>
    <t>F4</t>
  </si>
  <si>
    <t>30</t>
  </si>
  <si>
    <t>G4</t>
  </si>
  <si>
    <t>31</t>
  </si>
  <si>
    <t>H4</t>
  </si>
  <si>
    <t>32</t>
  </si>
  <si>
    <t>A5</t>
  </si>
  <si>
    <t>33</t>
  </si>
  <si>
    <t>B5</t>
  </si>
  <si>
    <t>34</t>
  </si>
  <si>
    <t>C5</t>
  </si>
  <si>
    <t>35</t>
  </si>
  <si>
    <t>D5</t>
  </si>
  <si>
    <t>36</t>
  </si>
  <si>
    <t>E5</t>
  </si>
  <si>
    <t>37</t>
  </si>
  <si>
    <t>F5</t>
  </si>
  <si>
    <t>38</t>
  </si>
  <si>
    <t>G5</t>
  </si>
  <si>
    <t>39</t>
  </si>
  <si>
    <t>H5</t>
  </si>
  <si>
    <t>40</t>
  </si>
  <si>
    <t>A6</t>
  </si>
  <si>
    <t>41</t>
  </si>
  <si>
    <t>B6</t>
  </si>
  <si>
    <t>42</t>
  </si>
  <si>
    <t>C6</t>
  </si>
  <si>
    <t>43</t>
  </si>
  <si>
    <t>D6</t>
  </si>
  <si>
    <t>44</t>
  </si>
  <si>
    <t>E6</t>
  </si>
  <si>
    <t>45</t>
  </si>
  <si>
    <t>F6</t>
  </si>
  <si>
    <t>46</t>
  </si>
  <si>
    <t>G6</t>
  </si>
  <si>
    <t>47</t>
  </si>
  <si>
    <t>H6</t>
  </si>
  <si>
    <t>48</t>
  </si>
  <si>
    <t>A7</t>
  </si>
  <si>
    <t>49</t>
  </si>
  <si>
    <t>B7</t>
  </si>
  <si>
    <t>50</t>
  </si>
  <si>
    <t>C7</t>
  </si>
  <si>
    <t>51</t>
  </si>
  <si>
    <t>D7</t>
  </si>
  <si>
    <t>52</t>
  </si>
  <si>
    <t>E7</t>
  </si>
  <si>
    <t>53</t>
  </si>
  <si>
    <t>F7</t>
  </si>
  <si>
    <t>54</t>
  </si>
  <si>
    <t>G7</t>
  </si>
  <si>
    <t>55</t>
  </si>
  <si>
    <t>H7</t>
  </si>
  <si>
    <t>56</t>
  </si>
  <si>
    <t>A8</t>
  </si>
  <si>
    <t>57</t>
  </si>
  <si>
    <t>B8</t>
  </si>
  <si>
    <t>58</t>
  </si>
  <si>
    <t>C8</t>
  </si>
  <si>
    <t>59</t>
  </si>
  <si>
    <t>D8</t>
  </si>
  <si>
    <t>60</t>
  </si>
  <si>
    <t>E8</t>
  </si>
  <si>
    <t>61</t>
  </si>
  <si>
    <t>F8</t>
  </si>
  <si>
    <t>62</t>
  </si>
  <si>
    <t>G8</t>
  </si>
  <si>
    <t>63</t>
  </si>
  <si>
    <t>H8</t>
  </si>
  <si>
    <t>64</t>
  </si>
  <si>
    <t>A9</t>
  </si>
  <si>
    <t>65</t>
  </si>
  <si>
    <t>B9</t>
  </si>
  <si>
    <t>66</t>
  </si>
  <si>
    <t>C9</t>
  </si>
  <si>
    <t>67</t>
  </si>
  <si>
    <t>D9</t>
  </si>
  <si>
    <t>68</t>
  </si>
  <si>
    <t>E9</t>
  </si>
  <si>
    <t>69</t>
  </si>
  <si>
    <t>F9</t>
  </si>
  <si>
    <t>70</t>
  </si>
  <si>
    <t>G9</t>
  </si>
  <si>
    <t>71</t>
  </si>
  <si>
    <t>H9</t>
  </si>
  <si>
    <t>72</t>
  </si>
  <si>
    <t>A10</t>
  </si>
  <si>
    <t>73</t>
  </si>
  <si>
    <t>B10</t>
  </si>
  <si>
    <t>74</t>
  </si>
  <si>
    <t>C10</t>
  </si>
  <si>
    <t>75</t>
  </si>
  <si>
    <t>D10</t>
  </si>
  <si>
    <t>76</t>
  </si>
  <si>
    <t>E10</t>
  </si>
  <si>
    <t>77</t>
  </si>
  <si>
    <t>F10</t>
  </si>
  <si>
    <t>78</t>
  </si>
  <si>
    <t>G10</t>
  </si>
  <si>
    <t>79</t>
  </si>
  <si>
    <t>H10</t>
  </si>
  <si>
    <t>80</t>
  </si>
  <si>
    <t>A11</t>
  </si>
  <si>
    <t>81</t>
  </si>
  <si>
    <t>B11</t>
  </si>
  <si>
    <t>82</t>
  </si>
  <si>
    <t>C11</t>
  </si>
  <si>
    <t>83</t>
  </si>
  <si>
    <t>D11</t>
  </si>
  <si>
    <t>84</t>
  </si>
  <si>
    <t>E11</t>
  </si>
  <si>
    <t>85</t>
  </si>
  <si>
    <t>F11</t>
  </si>
  <si>
    <t>86</t>
  </si>
  <si>
    <t>G11</t>
  </si>
  <si>
    <t>87</t>
  </si>
  <si>
    <t>H11</t>
  </si>
  <si>
    <t>88</t>
  </si>
  <si>
    <t>A12</t>
  </si>
  <si>
    <t>89</t>
  </si>
  <si>
    <t>B12</t>
  </si>
  <si>
    <t>90</t>
  </si>
  <si>
    <t>C12</t>
  </si>
  <si>
    <t>91</t>
  </si>
  <si>
    <t>D12</t>
  </si>
  <si>
    <t>92</t>
  </si>
  <si>
    <t>E12</t>
  </si>
  <si>
    <t>93</t>
  </si>
  <si>
    <t>F12</t>
  </si>
  <si>
    <t>94</t>
  </si>
  <si>
    <t>G12</t>
  </si>
  <si>
    <t>95</t>
  </si>
  <si>
    <t>H12</t>
  </si>
  <si>
    <t>96</t>
  </si>
  <si>
    <t>sample_id</t>
  </si>
  <si>
    <t>barcode</t>
  </si>
  <si>
    <t>Sample Type</t>
  </si>
  <si>
    <t>sample_type</t>
  </si>
  <si>
    <t>User Initials:</t>
  </si>
  <si>
    <t>Sample ID</t>
  </si>
  <si>
    <t>(first last)</t>
  </si>
  <si>
    <t>Study / Project:</t>
  </si>
  <si>
    <t>NOMADS Library Worksheet</t>
  </si>
  <si>
    <t>(e.g. A, B or C etc)</t>
  </si>
  <si>
    <t>Batch:</t>
  </si>
  <si>
    <t>post_pcr_dna_conc_ngul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</si>
</sst>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6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theme="5" tint="-0.249977111117893"/>
        <bgColor rgb="FF9933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4" fontId="4" fillId="0" borderId="0" applyBorder="0" applyProtection="0"/>
    <xf numFmtId="164" fontId="4" fillId="0" borderId="0" applyBorder="0" applyProtection="0"/>
    <xf numFmtId="0" fontId="1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" fontId="4" fillId="0" borderId="0" xfId="1" applyNumberFormat="1" applyBorder="1" applyAlignment="1" applyProtection="1">
      <alignment horizontal="center" vertical="center"/>
      <protection locked="0"/>
    </xf>
    <xf numFmtId="0" fontId="4" fillId="2" borderId="0" xfId="1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</xf>
    <xf numFmtId="0" fontId="0" fillId="0" borderId="0" xfId="0" applyProtection="1"/>
    <xf numFmtId="0" fontId="0" fillId="0" borderId="0" xfId="0" applyAlignment="1" applyProtection="1">
      <alignment horizontal="right" wrapText="1"/>
    </xf>
    <xf numFmtId="0" fontId="0" fillId="0" borderId="0" xfId="0" applyAlignment="1" applyProtection="1">
      <alignment horizontal="left"/>
    </xf>
    <xf numFmtId="49" fontId="0" fillId="0" borderId="0" xfId="0" applyNumberForma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top"/>
    </xf>
    <xf numFmtId="0" fontId="0" fillId="0" borderId="0" xfId="0" applyAlignment="1" applyProtection="1">
      <alignment horizontal="right"/>
    </xf>
    <xf numFmtId="1" fontId="4" fillId="0" borderId="0" xfId="1" applyNumberFormat="1" applyBorder="1" applyAlignment="1" applyProtection="1">
      <alignment vertical="center"/>
    </xf>
    <xf numFmtId="0" fontId="0" fillId="2" borderId="0" xfId="0" applyFill="1" applyAlignment="1" applyProtection="1">
      <alignment horizontal="right" wrapText="1"/>
    </xf>
    <xf numFmtId="0" fontId="0" fillId="0" borderId="0" xfId="0" applyAlignment="1" applyProtection="1">
      <alignment horizontal="center"/>
    </xf>
    <xf numFmtId="0" fontId="3" fillId="0" borderId="4" xfId="0" applyFont="1" applyBorder="1" applyAlignment="1" applyProtection="1">
      <alignment horizontal="center" wrapText="1"/>
    </xf>
    <xf numFmtId="0" fontId="3" fillId="4" borderId="4" xfId="0" applyFont="1" applyFill="1" applyBorder="1" applyAlignment="1" applyProtection="1">
      <alignment horizontal="center" wrapText="1"/>
    </xf>
    <xf numFmtId="0" fontId="3" fillId="5" borderId="4" xfId="0" applyFont="1" applyFill="1" applyBorder="1" applyAlignment="1" applyProtection="1">
      <alignment horizontal="center" wrapText="1"/>
    </xf>
    <xf numFmtId="0" fontId="3" fillId="3" borderId="4" xfId="0" applyFont="1" applyFill="1" applyBorder="1" applyAlignment="1" applyProtection="1">
      <alignment horizontal="center" wrapText="1"/>
    </xf>
    <xf numFmtId="0" fontId="0" fillId="0" borderId="0" xfId="0" applyAlignment="1" applyProtection="1">
      <alignment wrapText="1"/>
    </xf>
    <xf numFmtId="0" fontId="0" fillId="0" borderId="2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</cellXfs>
  <cellStyles count="6">
    <cellStyle name="Comma" xfId="1" builtinId="3"/>
    <cellStyle name="Comma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</cellStyles>
  <dxfs count="18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1" hidden="0"/>
    </dxf>
    <dxf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D9D9D9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SeqLib" displayName="tbl_SeqLib" ref="A9:E105" totalsRowShown="0" headerRowDxfId="13" dataDxfId="12">
  <autoFilter ref="A9:E105" xr:uid="{00000000-0009-0000-0100-000003000000}"/>
  <tableColumns count="5">
    <tableColumn id="2" xr3:uid="{00000000-0010-0000-0000-000002000000}" name="Well" dataDxfId="14"/>
    <tableColumn id="3" xr3:uid="{00000000-0010-0000-0000-000003000000}" name="Sample ID" dataDxfId="11"/>
    <tableColumn id="26" xr3:uid="{CDAB9BF6-0E65-46A9-85EA-6751A98F15D6}" name="Sample Type" dataDxfId="10"/>
    <tableColumn id="9" xr3:uid="{00000000-0010-0000-0000-000009000000}" name="PCR [DNA] (ng / µl)" dataDxfId="0"/>
    <tableColumn id="10" xr3:uid="{00000000-0010-0000-0000-00000A000000}" name="Barcode#" dataDxfId="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nomadic" displayName="tbl_nomadic" ref="A1:D97" totalsRowShown="0">
  <autoFilter ref="A1:D97" xr:uid="{00000000-0009-0000-0100-000002000000}"/>
  <tableColumns count="4">
    <tableColumn id="1" xr3:uid="{00000000-0010-0000-0200-000001000000}" name="sample_id"/>
    <tableColumn id="9" xr3:uid="{98E62512-61AC-41C9-8930-37E9E6964CA3}" name="sample_type" dataDxfId="17">
      <calculatedColumnFormula>IF(LEN(Library!C10)=0,"",Library!C10)</calculatedColumnFormula>
    </tableColumn>
    <tableColumn id="7" xr3:uid="{00000000-0010-0000-0200-000007000000}" name="barcode" dataDxfId="16">
      <calculatedColumnFormula>IF(ISBLANK(Library!B10),"",CONCATENATE("barcode",Library!E10))</calculatedColumnFormula>
    </tableColumn>
    <tableColumn id="2" xr3:uid="{1FDA51E1-A0B8-4EA2-9C5A-4746ACED2260}" name="post_pcr_dna_conc_ngul" dataDxfId="15">
      <calculatedColumnFormula>IF(LEN(Library!D10)=0,"",Library!D10)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J115"/>
  <sheetViews>
    <sheetView tabSelected="1" zoomScaleNormal="100" workbookViewId="0">
      <selection activeCell="C2" sqref="C2:E2"/>
    </sheetView>
  </sheetViews>
  <sheetFormatPr defaultColWidth="11" defaultRowHeight="15.6" x14ac:dyDescent="0.3"/>
  <cols>
    <col min="1" max="1" width="13.296875" style="15" customWidth="1"/>
    <col min="2" max="2" width="30.3984375" style="15" customWidth="1"/>
    <col min="3" max="3" width="24.3984375" style="15" customWidth="1"/>
    <col min="4" max="4" width="28.5" style="15" customWidth="1"/>
    <col min="5" max="5" width="24" style="15" customWidth="1"/>
    <col min="6" max="7" width="11.8984375" style="15" customWidth="1"/>
    <col min="8" max="8" width="11" style="15"/>
    <col min="9" max="9" width="11" style="15" customWidth="1"/>
    <col min="10" max="10" width="17.3984375" style="15" customWidth="1"/>
  </cols>
  <sheetData>
    <row r="1" spans="1:10" x14ac:dyDescent="0.3">
      <c r="A1" s="14" t="s">
        <v>208</v>
      </c>
      <c r="B1" s="14"/>
      <c r="C1" s="14"/>
      <c r="D1" s="14"/>
      <c r="E1" s="14"/>
      <c r="F1" s="14"/>
      <c r="G1" s="14"/>
      <c r="H1" s="14"/>
    </row>
    <row r="2" spans="1:10" x14ac:dyDescent="0.3">
      <c r="A2" s="16" t="s">
        <v>0</v>
      </c>
      <c r="B2" s="16"/>
      <c r="C2" s="10"/>
      <c r="D2" s="10"/>
      <c r="E2" s="10"/>
      <c r="F2" s="17" t="s">
        <v>1</v>
      </c>
      <c r="G2" s="18"/>
    </row>
    <row r="3" spans="1:10" x14ac:dyDescent="0.3">
      <c r="A3" s="16" t="s">
        <v>204</v>
      </c>
      <c r="B3" s="16"/>
      <c r="C3" s="13"/>
      <c r="D3" s="13"/>
      <c r="E3" s="13"/>
      <c r="F3" s="15" t="s">
        <v>206</v>
      </c>
      <c r="G3" s="19"/>
    </row>
    <row r="4" spans="1:10" x14ac:dyDescent="0.3">
      <c r="A4" s="16" t="s">
        <v>207</v>
      </c>
      <c r="B4" s="16"/>
      <c r="C4" s="13"/>
      <c r="D4" s="13"/>
      <c r="E4" s="13"/>
      <c r="G4" s="19"/>
    </row>
    <row r="5" spans="1:10" x14ac:dyDescent="0.3">
      <c r="A5" s="16" t="s">
        <v>2</v>
      </c>
      <c r="B5" s="16"/>
      <c r="C5" s="10"/>
      <c r="D5" s="10"/>
      <c r="E5" s="10"/>
      <c r="F5" s="20" t="s">
        <v>3</v>
      </c>
      <c r="G5" s="18"/>
    </row>
    <row r="6" spans="1:10" x14ac:dyDescent="0.3">
      <c r="A6" s="21" t="s">
        <v>210</v>
      </c>
      <c r="B6" s="21"/>
      <c r="C6" s="11"/>
      <c r="D6" s="11"/>
      <c r="E6" s="11"/>
      <c r="F6" s="17" t="s">
        <v>209</v>
      </c>
      <c r="G6" s="22"/>
    </row>
    <row r="7" spans="1:10" x14ac:dyDescent="0.3">
      <c r="A7" s="23" t="s">
        <v>4</v>
      </c>
      <c r="B7" s="23"/>
      <c r="C7" s="12" t="str">
        <f>IF(OR(ISBLANK(C2),ISBLANK(C3),ISBLANK(C4), ISBLANK(C5), ISBLANK(C6)),"",CONCATENATE(C2,"_",C3,C5,"_",C4,"_Batch",C6))</f>
        <v/>
      </c>
      <c r="D7" s="12"/>
      <c r="E7" s="12"/>
      <c r="F7" s="24"/>
      <c r="G7" s="22"/>
    </row>
    <row r="8" spans="1:10" x14ac:dyDescent="0.3">
      <c r="F8" s="22"/>
      <c r="G8" s="22"/>
    </row>
    <row r="9" spans="1:10" ht="16.2" thickBot="1" x14ac:dyDescent="0.35">
      <c r="A9" s="25" t="s">
        <v>5</v>
      </c>
      <c r="B9" s="26" t="s">
        <v>205</v>
      </c>
      <c r="C9" s="26" t="s">
        <v>202</v>
      </c>
      <c r="D9" s="27" t="s">
        <v>6</v>
      </c>
      <c r="E9" s="28" t="s">
        <v>7</v>
      </c>
      <c r="F9" s="29"/>
      <c r="G9" s="29"/>
    </row>
    <row r="10" spans="1:10" x14ac:dyDescent="0.3">
      <c r="A10" s="30" t="s">
        <v>8</v>
      </c>
      <c r="B10" s="4"/>
      <c r="C10" s="4"/>
      <c r="D10" s="4"/>
      <c r="E10" s="5" t="s">
        <v>9</v>
      </c>
      <c r="G10" s="29"/>
    </row>
    <row r="11" spans="1:10" s="1" customFormat="1" x14ac:dyDescent="0.3">
      <c r="A11" s="31" t="s">
        <v>10</v>
      </c>
      <c r="B11" s="2"/>
      <c r="C11" s="2"/>
      <c r="D11" s="2"/>
      <c r="E11" s="3" t="s">
        <v>11</v>
      </c>
      <c r="F11" s="15"/>
      <c r="G11" s="29"/>
      <c r="H11" s="29"/>
      <c r="I11" s="29"/>
      <c r="J11" s="29"/>
    </row>
    <row r="12" spans="1:10" ht="15.75" customHeight="1" x14ac:dyDescent="0.3">
      <c r="A12" s="31" t="s">
        <v>12</v>
      </c>
      <c r="B12" s="2"/>
      <c r="C12" s="2"/>
      <c r="D12" s="2"/>
      <c r="E12" s="3" t="s">
        <v>13</v>
      </c>
      <c r="G12" s="29"/>
    </row>
    <row r="13" spans="1:10" ht="15.75" customHeight="1" x14ac:dyDescent="0.3">
      <c r="A13" s="31" t="s">
        <v>14</v>
      </c>
      <c r="B13" s="2"/>
      <c r="C13" s="2"/>
      <c r="D13" s="2"/>
      <c r="E13" s="3" t="s">
        <v>15</v>
      </c>
    </row>
    <row r="14" spans="1:10" ht="15.75" customHeight="1" x14ac:dyDescent="0.3">
      <c r="A14" s="31" t="s">
        <v>16</v>
      </c>
      <c r="B14" s="2"/>
      <c r="C14" s="2"/>
      <c r="D14" s="2"/>
      <c r="E14" s="3" t="s">
        <v>17</v>
      </c>
    </row>
    <row r="15" spans="1:10" ht="15.75" customHeight="1" x14ac:dyDescent="0.3">
      <c r="A15" s="31" t="s">
        <v>18</v>
      </c>
      <c r="B15" s="2"/>
      <c r="C15" s="2"/>
      <c r="D15" s="2"/>
      <c r="E15" s="3" t="s">
        <v>19</v>
      </c>
    </row>
    <row r="16" spans="1:10" ht="15.75" customHeight="1" x14ac:dyDescent="0.3">
      <c r="A16" s="31" t="s">
        <v>20</v>
      </c>
      <c r="B16" s="2"/>
      <c r="C16" s="2"/>
      <c r="D16" s="2"/>
      <c r="E16" s="3" t="s">
        <v>21</v>
      </c>
    </row>
    <row r="17" spans="1:5" ht="15.75" customHeight="1" thickBot="1" x14ac:dyDescent="0.35">
      <c r="A17" s="32" t="s">
        <v>22</v>
      </c>
      <c r="B17" s="6"/>
      <c r="C17" s="8"/>
      <c r="D17" s="6"/>
      <c r="E17" s="7" t="s">
        <v>23</v>
      </c>
    </row>
    <row r="18" spans="1:5" ht="15.75" customHeight="1" x14ac:dyDescent="0.3">
      <c r="A18" s="30" t="s">
        <v>24</v>
      </c>
      <c r="B18" s="4"/>
      <c r="C18" s="4"/>
      <c r="D18" s="4"/>
      <c r="E18" s="5" t="s">
        <v>25</v>
      </c>
    </row>
    <row r="19" spans="1:5" ht="15.75" customHeight="1" x14ac:dyDescent="0.3">
      <c r="A19" s="31" t="s">
        <v>26</v>
      </c>
      <c r="B19" s="2"/>
      <c r="C19" s="2"/>
      <c r="D19" s="2"/>
      <c r="E19" s="3" t="s">
        <v>27</v>
      </c>
    </row>
    <row r="20" spans="1:5" ht="15.75" customHeight="1" x14ac:dyDescent="0.3">
      <c r="A20" s="31" t="s">
        <v>28</v>
      </c>
      <c r="B20" s="2"/>
      <c r="C20" s="2"/>
      <c r="D20" s="2"/>
      <c r="E20" s="3" t="s">
        <v>29</v>
      </c>
    </row>
    <row r="21" spans="1:5" ht="15.75" customHeight="1" x14ac:dyDescent="0.3">
      <c r="A21" s="31" t="s">
        <v>30</v>
      </c>
      <c r="B21" s="2"/>
      <c r="C21" s="2"/>
      <c r="D21" s="2"/>
      <c r="E21" s="3" t="s">
        <v>31</v>
      </c>
    </row>
    <row r="22" spans="1:5" ht="15.75" customHeight="1" x14ac:dyDescent="0.3">
      <c r="A22" s="31" t="s">
        <v>32</v>
      </c>
      <c r="B22" s="2"/>
      <c r="C22" s="2"/>
      <c r="D22" s="2"/>
      <c r="E22" s="3" t="s">
        <v>33</v>
      </c>
    </row>
    <row r="23" spans="1:5" ht="15.75" customHeight="1" x14ac:dyDescent="0.3">
      <c r="A23" s="31" t="s">
        <v>34</v>
      </c>
      <c r="B23" s="2"/>
      <c r="C23" s="2"/>
      <c r="D23" s="2"/>
      <c r="E23" s="3" t="s">
        <v>35</v>
      </c>
    </row>
    <row r="24" spans="1:5" ht="15.75" customHeight="1" x14ac:dyDescent="0.3">
      <c r="A24" s="31" t="s">
        <v>36</v>
      </c>
      <c r="B24" s="2"/>
      <c r="C24" s="2"/>
      <c r="D24" s="2"/>
      <c r="E24" s="3" t="s">
        <v>37</v>
      </c>
    </row>
    <row r="25" spans="1:5" ht="15.75" customHeight="1" thickBot="1" x14ac:dyDescent="0.35">
      <c r="A25" s="33" t="s">
        <v>38</v>
      </c>
      <c r="B25" s="8"/>
      <c r="C25" s="8"/>
      <c r="D25" s="8"/>
      <c r="E25" s="9" t="s">
        <v>39</v>
      </c>
    </row>
    <row r="26" spans="1:5" ht="15.75" customHeight="1" x14ac:dyDescent="0.3">
      <c r="A26" s="30" t="s">
        <v>40</v>
      </c>
      <c r="B26" s="4"/>
      <c r="C26" s="4"/>
      <c r="D26" s="4"/>
      <c r="E26" s="5" t="s">
        <v>41</v>
      </c>
    </row>
    <row r="27" spans="1:5" ht="15.75" customHeight="1" x14ac:dyDescent="0.3">
      <c r="A27" s="31" t="s">
        <v>42</v>
      </c>
      <c r="B27" s="2"/>
      <c r="C27" s="2"/>
      <c r="D27" s="2"/>
      <c r="E27" s="3" t="s">
        <v>43</v>
      </c>
    </row>
    <row r="28" spans="1:5" ht="15.75" customHeight="1" x14ac:dyDescent="0.3">
      <c r="A28" s="31" t="s">
        <v>44</v>
      </c>
      <c r="B28" s="2"/>
      <c r="C28" s="2"/>
      <c r="D28" s="2"/>
      <c r="E28" s="3" t="s">
        <v>45</v>
      </c>
    </row>
    <row r="29" spans="1:5" ht="15.75" customHeight="1" x14ac:dyDescent="0.3">
      <c r="A29" s="31" t="s">
        <v>46</v>
      </c>
      <c r="B29" s="2"/>
      <c r="C29" s="2"/>
      <c r="D29" s="2"/>
      <c r="E29" s="3" t="s">
        <v>47</v>
      </c>
    </row>
    <row r="30" spans="1:5" ht="15.75" customHeight="1" x14ac:dyDescent="0.3">
      <c r="A30" s="31" t="s">
        <v>48</v>
      </c>
      <c r="B30" s="2"/>
      <c r="C30" s="2"/>
      <c r="D30" s="2"/>
      <c r="E30" s="3" t="s">
        <v>49</v>
      </c>
    </row>
    <row r="31" spans="1:5" ht="15.75" customHeight="1" x14ac:dyDescent="0.3">
      <c r="A31" s="31" t="s">
        <v>50</v>
      </c>
      <c r="B31" s="2"/>
      <c r="C31" s="2"/>
      <c r="D31" s="2"/>
      <c r="E31" s="3" t="s">
        <v>51</v>
      </c>
    </row>
    <row r="32" spans="1:5" ht="15.75" customHeight="1" x14ac:dyDescent="0.3">
      <c r="A32" s="31" t="s">
        <v>52</v>
      </c>
      <c r="B32" s="2"/>
      <c r="C32" s="2"/>
      <c r="D32" s="2"/>
      <c r="E32" s="3" t="s">
        <v>53</v>
      </c>
    </row>
    <row r="33" spans="1:5" ht="15.75" customHeight="1" thickBot="1" x14ac:dyDescent="0.35">
      <c r="A33" s="32" t="s">
        <v>54</v>
      </c>
      <c r="B33" s="6"/>
      <c r="C33" s="6"/>
      <c r="D33" s="6"/>
      <c r="E33" s="7" t="s">
        <v>55</v>
      </c>
    </row>
    <row r="34" spans="1:5" ht="15.75" customHeight="1" x14ac:dyDescent="0.3">
      <c r="A34" s="30" t="s">
        <v>56</v>
      </c>
      <c r="B34" s="4"/>
      <c r="C34" s="4"/>
      <c r="D34" s="4"/>
      <c r="E34" s="5" t="s">
        <v>57</v>
      </c>
    </row>
    <row r="35" spans="1:5" ht="15.75" customHeight="1" x14ac:dyDescent="0.3">
      <c r="A35" s="31" t="s">
        <v>58</v>
      </c>
      <c r="B35" s="2"/>
      <c r="C35" s="2"/>
      <c r="D35" s="2"/>
      <c r="E35" s="3" t="s">
        <v>59</v>
      </c>
    </row>
    <row r="36" spans="1:5" ht="15.75" customHeight="1" x14ac:dyDescent="0.3">
      <c r="A36" s="31" t="s">
        <v>60</v>
      </c>
      <c r="B36" s="2"/>
      <c r="C36" s="2"/>
      <c r="D36" s="2"/>
      <c r="E36" s="3" t="s">
        <v>61</v>
      </c>
    </row>
    <row r="37" spans="1:5" ht="15.75" customHeight="1" x14ac:dyDescent="0.3">
      <c r="A37" s="31" t="s">
        <v>62</v>
      </c>
      <c r="B37" s="2"/>
      <c r="C37" s="2"/>
      <c r="D37" s="2"/>
      <c r="E37" s="3" t="s">
        <v>63</v>
      </c>
    </row>
    <row r="38" spans="1:5" ht="15.75" customHeight="1" x14ac:dyDescent="0.3">
      <c r="A38" s="31" t="s">
        <v>64</v>
      </c>
      <c r="B38" s="2"/>
      <c r="C38" s="2"/>
      <c r="D38" s="2"/>
      <c r="E38" s="3" t="s">
        <v>65</v>
      </c>
    </row>
    <row r="39" spans="1:5" ht="15.75" customHeight="1" x14ac:dyDescent="0.3">
      <c r="A39" s="31" t="s">
        <v>66</v>
      </c>
      <c r="B39" s="2"/>
      <c r="C39" s="2"/>
      <c r="D39" s="2"/>
      <c r="E39" s="3" t="s">
        <v>67</v>
      </c>
    </row>
    <row r="40" spans="1:5" ht="15.75" customHeight="1" x14ac:dyDescent="0.3">
      <c r="A40" s="31" t="s">
        <v>68</v>
      </c>
      <c r="B40" s="2"/>
      <c r="C40" s="2"/>
      <c r="D40" s="2"/>
      <c r="E40" s="3" t="s">
        <v>69</v>
      </c>
    </row>
    <row r="41" spans="1:5" ht="15.75" customHeight="1" thickBot="1" x14ac:dyDescent="0.35">
      <c r="A41" s="32" t="s">
        <v>70</v>
      </c>
      <c r="B41" s="6"/>
      <c r="C41" s="6"/>
      <c r="D41" s="6"/>
      <c r="E41" s="7" t="s">
        <v>71</v>
      </c>
    </row>
    <row r="42" spans="1:5" ht="15.75" customHeight="1" x14ac:dyDescent="0.3">
      <c r="A42" s="30" t="s">
        <v>72</v>
      </c>
      <c r="B42" s="4"/>
      <c r="C42" s="4"/>
      <c r="D42" s="4"/>
      <c r="E42" s="5" t="s">
        <v>73</v>
      </c>
    </row>
    <row r="43" spans="1:5" ht="15.75" customHeight="1" x14ac:dyDescent="0.3">
      <c r="A43" s="31" t="s">
        <v>74</v>
      </c>
      <c r="B43" s="2"/>
      <c r="C43" s="2"/>
      <c r="D43" s="2"/>
      <c r="E43" s="3" t="s">
        <v>75</v>
      </c>
    </row>
    <row r="44" spans="1:5" ht="15.75" customHeight="1" x14ac:dyDescent="0.3">
      <c r="A44" s="31" t="s">
        <v>76</v>
      </c>
      <c r="B44" s="2"/>
      <c r="C44" s="2"/>
      <c r="D44" s="2"/>
      <c r="E44" s="3" t="s">
        <v>77</v>
      </c>
    </row>
    <row r="45" spans="1:5" ht="15.75" customHeight="1" x14ac:dyDescent="0.3">
      <c r="A45" s="31" t="s">
        <v>78</v>
      </c>
      <c r="B45" s="2"/>
      <c r="C45" s="2"/>
      <c r="D45" s="2"/>
      <c r="E45" s="3" t="s">
        <v>79</v>
      </c>
    </row>
    <row r="46" spans="1:5" ht="15.75" customHeight="1" x14ac:dyDescent="0.3">
      <c r="A46" s="31" t="s">
        <v>80</v>
      </c>
      <c r="B46" s="2"/>
      <c r="C46" s="2"/>
      <c r="D46" s="2"/>
      <c r="E46" s="3" t="s">
        <v>81</v>
      </c>
    </row>
    <row r="47" spans="1:5" ht="15.75" customHeight="1" x14ac:dyDescent="0.3">
      <c r="A47" s="31" t="s">
        <v>82</v>
      </c>
      <c r="B47" s="2"/>
      <c r="C47" s="2"/>
      <c r="D47" s="2"/>
      <c r="E47" s="3" t="s">
        <v>83</v>
      </c>
    </row>
    <row r="48" spans="1:5" ht="15.75" customHeight="1" x14ac:dyDescent="0.3">
      <c r="A48" s="31" t="s">
        <v>84</v>
      </c>
      <c r="B48" s="2"/>
      <c r="C48" s="2"/>
      <c r="D48" s="2"/>
      <c r="E48" s="3" t="s">
        <v>85</v>
      </c>
    </row>
    <row r="49" spans="1:5" ht="15.75" customHeight="1" thickBot="1" x14ac:dyDescent="0.35">
      <c r="A49" s="32" t="s">
        <v>86</v>
      </c>
      <c r="B49" s="6"/>
      <c r="C49" s="6"/>
      <c r="D49" s="6"/>
      <c r="E49" s="7" t="s">
        <v>87</v>
      </c>
    </row>
    <row r="50" spans="1:5" ht="15.75" customHeight="1" x14ac:dyDescent="0.3">
      <c r="A50" s="30" t="s">
        <v>88</v>
      </c>
      <c r="B50" s="4"/>
      <c r="C50" s="4"/>
      <c r="D50" s="4"/>
      <c r="E50" s="5" t="s">
        <v>89</v>
      </c>
    </row>
    <row r="51" spans="1:5" ht="15.75" customHeight="1" x14ac:dyDescent="0.3">
      <c r="A51" s="31" t="s">
        <v>90</v>
      </c>
      <c r="B51" s="2"/>
      <c r="C51" s="2"/>
      <c r="D51" s="2"/>
      <c r="E51" s="3" t="s">
        <v>91</v>
      </c>
    </row>
    <row r="52" spans="1:5" ht="15.75" customHeight="1" x14ac:dyDescent="0.3">
      <c r="A52" s="31" t="s">
        <v>92</v>
      </c>
      <c r="B52" s="2"/>
      <c r="C52" s="2"/>
      <c r="D52" s="2"/>
      <c r="E52" s="3" t="s">
        <v>93</v>
      </c>
    </row>
    <row r="53" spans="1:5" ht="15.75" customHeight="1" x14ac:dyDescent="0.3">
      <c r="A53" s="31" t="s">
        <v>94</v>
      </c>
      <c r="B53" s="2"/>
      <c r="C53" s="2"/>
      <c r="D53" s="2"/>
      <c r="E53" s="3" t="s">
        <v>95</v>
      </c>
    </row>
    <row r="54" spans="1:5" ht="15.75" customHeight="1" x14ac:dyDescent="0.3">
      <c r="A54" s="31" t="s">
        <v>96</v>
      </c>
      <c r="B54" s="2"/>
      <c r="C54" s="2"/>
      <c r="D54" s="2"/>
      <c r="E54" s="3" t="s">
        <v>97</v>
      </c>
    </row>
    <row r="55" spans="1:5" ht="15.75" customHeight="1" x14ac:dyDescent="0.3">
      <c r="A55" s="31" t="s">
        <v>98</v>
      </c>
      <c r="B55" s="2"/>
      <c r="C55" s="2"/>
      <c r="D55" s="2"/>
      <c r="E55" s="3" t="s">
        <v>99</v>
      </c>
    </row>
    <row r="56" spans="1:5" ht="15.75" customHeight="1" x14ac:dyDescent="0.3">
      <c r="A56" s="31" t="s">
        <v>100</v>
      </c>
      <c r="B56" s="2"/>
      <c r="C56" s="2"/>
      <c r="D56" s="2"/>
      <c r="E56" s="3" t="s">
        <v>101</v>
      </c>
    </row>
    <row r="57" spans="1:5" ht="15.75" customHeight="1" thickBot="1" x14ac:dyDescent="0.35">
      <c r="A57" s="32" t="s">
        <v>102</v>
      </c>
      <c r="B57" s="6"/>
      <c r="C57" s="6"/>
      <c r="D57" s="6"/>
      <c r="E57" s="7" t="s">
        <v>103</v>
      </c>
    </row>
    <row r="58" spans="1:5" ht="15.75" customHeight="1" x14ac:dyDescent="0.3">
      <c r="A58" s="30" t="s">
        <v>104</v>
      </c>
      <c r="B58" s="4"/>
      <c r="C58" s="4"/>
      <c r="D58" s="4"/>
      <c r="E58" s="5" t="s">
        <v>105</v>
      </c>
    </row>
    <row r="59" spans="1:5" ht="15.75" customHeight="1" x14ac:dyDescent="0.3">
      <c r="A59" s="31" t="s">
        <v>106</v>
      </c>
      <c r="B59" s="2"/>
      <c r="C59" s="2"/>
      <c r="D59" s="2"/>
      <c r="E59" s="3" t="s">
        <v>107</v>
      </c>
    </row>
    <row r="60" spans="1:5" ht="15.75" customHeight="1" x14ac:dyDescent="0.3">
      <c r="A60" s="31" t="s">
        <v>108</v>
      </c>
      <c r="B60" s="2"/>
      <c r="C60" s="2"/>
      <c r="D60" s="2"/>
      <c r="E60" s="3" t="s">
        <v>109</v>
      </c>
    </row>
    <row r="61" spans="1:5" ht="15.75" customHeight="1" x14ac:dyDescent="0.3">
      <c r="A61" s="31" t="s">
        <v>110</v>
      </c>
      <c r="B61" s="2"/>
      <c r="C61" s="2"/>
      <c r="D61" s="2"/>
      <c r="E61" s="3" t="s">
        <v>111</v>
      </c>
    </row>
    <row r="62" spans="1:5" ht="15.75" customHeight="1" x14ac:dyDescent="0.3">
      <c r="A62" s="31" t="s">
        <v>112</v>
      </c>
      <c r="B62" s="2"/>
      <c r="C62" s="2"/>
      <c r="D62" s="2"/>
      <c r="E62" s="3" t="s">
        <v>113</v>
      </c>
    </row>
    <row r="63" spans="1:5" ht="15.75" customHeight="1" x14ac:dyDescent="0.3">
      <c r="A63" s="31" t="s">
        <v>114</v>
      </c>
      <c r="B63" s="2"/>
      <c r="C63" s="2"/>
      <c r="D63" s="2"/>
      <c r="E63" s="3" t="s">
        <v>115</v>
      </c>
    </row>
    <row r="64" spans="1:5" ht="15.75" customHeight="1" x14ac:dyDescent="0.3">
      <c r="A64" s="31" t="s">
        <v>116</v>
      </c>
      <c r="B64" s="2"/>
      <c r="C64" s="2"/>
      <c r="D64" s="2"/>
      <c r="E64" s="3" t="s">
        <v>117</v>
      </c>
    </row>
    <row r="65" spans="1:5" ht="15.75" customHeight="1" thickBot="1" x14ac:dyDescent="0.35">
      <c r="A65" s="32" t="s">
        <v>118</v>
      </c>
      <c r="B65" s="6"/>
      <c r="C65" s="6"/>
      <c r="D65" s="6"/>
      <c r="E65" s="7" t="s">
        <v>119</v>
      </c>
    </row>
    <row r="66" spans="1:5" ht="15.75" customHeight="1" x14ac:dyDescent="0.3">
      <c r="A66" s="30" t="s">
        <v>120</v>
      </c>
      <c r="B66" s="4"/>
      <c r="C66" s="4"/>
      <c r="D66" s="4"/>
      <c r="E66" s="5" t="s">
        <v>121</v>
      </c>
    </row>
    <row r="67" spans="1:5" ht="15.75" customHeight="1" x14ac:dyDescent="0.3">
      <c r="A67" s="31" t="s">
        <v>122</v>
      </c>
      <c r="B67" s="2"/>
      <c r="C67" s="2"/>
      <c r="D67" s="2"/>
      <c r="E67" s="3" t="s">
        <v>123</v>
      </c>
    </row>
    <row r="68" spans="1:5" ht="15.75" customHeight="1" x14ac:dyDescent="0.3">
      <c r="A68" s="31" t="s">
        <v>124</v>
      </c>
      <c r="B68" s="2"/>
      <c r="C68" s="2"/>
      <c r="D68" s="2"/>
      <c r="E68" s="3" t="s">
        <v>125</v>
      </c>
    </row>
    <row r="69" spans="1:5" ht="15.75" customHeight="1" x14ac:dyDescent="0.3">
      <c r="A69" s="31" t="s">
        <v>126</v>
      </c>
      <c r="B69" s="2"/>
      <c r="C69" s="2"/>
      <c r="D69" s="2"/>
      <c r="E69" s="3" t="s">
        <v>127</v>
      </c>
    </row>
    <row r="70" spans="1:5" ht="15.75" customHeight="1" x14ac:dyDescent="0.3">
      <c r="A70" s="31" t="s">
        <v>128</v>
      </c>
      <c r="B70" s="2"/>
      <c r="C70" s="2"/>
      <c r="D70" s="2"/>
      <c r="E70" s="3" t="s">
        <v>129</v>
      </c>
    </row>
    <row r="71" spans="1:5" ht="15.75" customHeight="1" x14ac:dyDescent="0.3">
      <c r="A71" s="31" t="s">
        <v>130</v>
      </c>
      <c r="B71" s="2"/>
      <c r="C71" s="2"/>
      <c r="D71" s="2"/>
      <c r="E71" s="3" t="s">
        <v>131</v>
      </c>
    </row>
    <row r="72" spans="1:5" ht="15.75" customHeight="1" x14ac:dyDescent="0.3">
      <c r="A72" s="31" t="s">
        <v>132</v>
      </c>
      <c r="B72" s="2"/>
      <c r="C72" s="2"/>
      <c r="D72" s="2"/>
      <c r="E72" s="3" t="s">
        <v>133</v>
      </c>
    </row>
    <row r="73" spans="1:5" ht="15.75" customHeight="1" thickBot="1" x14ac:dyDescent="0.35">
      <c r="A73" s="32" t="s">
        <v>134</v>
      </c>
      <c r="B73" s="6"/>
      <c r="C73" s="6"/>
      <c r="D73" s="6"/>
      <c r="E73" s="7" t="s">
        <v>135</v>
      </c>
    </row>
    <row r="74" spans="1:5" ht="15.75" customHeight="1" x14ac:dyDescent="0.3">
      <c r="A74" s="30" t="s">
        <v>136</v>
      </c>
      <c r="B74" s="4"/>
      <c r="C74" s="4"/>
      <c r="D74" s="4"/>
      <c r="E74" s="5" t="s">
        <v>137</v>
      </c>
    </row>
    <row r="75" spans="1:5" ht="15.75" customHeight="1" x14ac:dyDescent="0.3">
      <c r="A75" s="31" t="s">
        <v>138</v>
      </c>
      <c r="B75" s="2"/>
      <c r="C75" s="2"/>
      <c r="D75" s="2"/>
      <c r="E75" s="3" t="s">
        <v>139</v>
      </c>
    </row>
    <row r="76" spans="1:5" ht="15.75" customHeight="1" x14ac:dyDescent="0.3">
      <c r="A76" s="31" t="s">
        <v>140</v>
      </c>
      <c r="B76" s="2"/>
      <c r="C76" s="2"/>
      <c r="D76" s="2"/>
      <c r="E76" s="3" t="s">
        <v>141</v>
      </c>
    </row>
    <row r="77" spans="1:5" ht="15.75" customHeight="1" x14ac:dyDescent="0.3">
      <c r="A77" s="31" t="s">
        <v>142</v>
      </c>
      <c r="B77" s="2"/>
      <c r="C77" s="2"/>
      <c r="D77" s="2"/>
      <c r="E77" s="3" t="s">
        <v>143</v>
      </c>
    </row>
    <row r="78" spans="1:5" ht="15.75" customHeight="1" x14ac:dyDescent="0.3">
      <c r="A78" s="31" t="s">
        <v>144</v>
      </c>
      <c r="B78" s="2"/>
      <c r="C78" s="2"/>
      <c r="D78" s="2"/>
      <c r="E78" s="3" t="s">
        <v>145</v>
      </c>
    </row>
    <row r="79" spans="1:5" ht="15.75" customHeight="1" x14ac:dyDescent="0.3">
      <c r="A79" s="31" t="s">
        <v>146</v>
      </c>
      <c r="B79" s="2"/>
      <c r="C79" s="2"/>
      <c r="D79" s="2"/>
      <c r="E79" s="3" t="s">
        <v>147</v>
      </c>
    </row>
    <row r="80" spans="1:5" ht="15.75" customHeight="1" x14ac:dyDescent="0.3">
      <c r="A80" s="31" t="s">
        <v>148</v>
      </c>
      <c r="B80" s="2"/>
      <c r="C80" s="2"/>
      <c r="D80" s="2"/>
      <c r="E80" s="3" t="s">
        <v>149</v>
      </c>
    </row>
    <row r="81" spans="1:5" ht="15.75" customHeight="1" thickBot="1" x14ac:dyDescent="0.35">
      <c r="A81" s="32" t="s">
        <v>150</v>
      </c>
      <c r="B81" s="6"/>
      <c r="C81" s="6"/>
      <c r="D81" s="6"/>
      <c r="E81" s="7" t="s">
        <v>151</v>
      </c>
    </row>
    <row r="82" spans="1:5" ht="15.75" customHeight="1" x14ac:dyDescent="0.3">
      <c r="A82" s="30" t="s">
        <v>152</v>
      </c>
      <c r="B82" s="4"/>
      <c r="C82" s="4"/>
      <c r="D82" s="4"/>
      <c r="E82" s="5" t="s">
        <v>153</v>
      </c>
    </row>
    <row r="83" spans="1:5" ht="15.75" customHeight="1" x14ac:dyDescent="0.3">
      <c r="A83" s="31" t="s">
        <v>154</v>
      </c>
      <c r="B83" s="2"/>
      <c r="C83" s="2"/>
      <c r="D83" s="2"/>
      <c r="E83" s="3" t="s">
        <v>155</v>
      </c>
    </row>
    <row r="84" spans="1:5" ht="15.75" customHeight="1" x14ac:dyDescent="0.3">
      <c r="A84" s="31" t="s">
        <v>156</v>
      </c>
      <c r="B84" s="2"/>
      <c r="C84" s="2"/>
      <c r="D84" s="2"/>
      <c r="E84" s="3" t="s">
        <v>157</v>
      </c>
    </row>
    <row r="85" spans="1:5" ht="15.75" customHeight="1" x14ac:dyDescent="0.3">
      <c r="A85" s="31" t="s">
        <v>158</v>
      </c>
      <c r="B85" s="2"/>
      <c r="C85" s="2"/>
      <c r="D85" s="2"/>
      <c r="E85" s="3" t="s">
        <v>159</v>
      </c>
    </row>
    <row r="86" spans="1:5" ht="15.75" customHeight="1" x14ac:dyDescent="0.3">
      <c r="A86" s="31" t="s">
        <v>160</v>
      </c>
      <c r="B86" s="2"/>
      <c r="C86" s="2"/>
      <c r="D86" s="2"/>
      <c r="E86" s="3" t="s">
        <v>161</v>
      </c>
    </row>
    <row r="87" spans="1:5" ht="15.75" customHeight="1" x14ac:dyDescent="0.3">
      <c r="A87" s="31" t="s">
        <v>162</v>
      </c>
      <c r="B87" s="2"/>
      <c r="C87" s="2"/>
      <c r="D87" s="2"/>
      <c r="E87" s="3" t="s">
        <v>163</v>
      </c>
    </row>
    <row r="88" spans="1:5" ht="15.75" customHeight="1" x14ac:dyDescent="0.3">
      <c r="A88" s="31" t="s">
        <v>164</v>
      </c>
      <c r="B88" s="2"/>
      <c r="C88" s="2"/>
      <c r="D88" s="2"/>
      <c r="E88" s="3" t="s">
        <v>165</v>
      </c>
    </row>
    <row r="89" spans="1:5" ht="15.75" customHeight="1" thickBot="1" x14ac:dyDescent="0.35">
      <c r="A89" s="32" t="s">
        <v>166</v>
      </c>
      <c r="B89" s="6"/>
      <c r="C89" s="6"/>
      <c r="D89" s="6"/>
      <c r="E89" s="7" t="s">
        <v>167</v>
      </c>
    </row>
    <row r="90" spans="1:5" ht="15.75" customHeight="1" x14ac:dyDescent="0.3">
      <c r="A90" s="30" t="s">
        <v>168</v>
      </c>
      <c r="B90" s="4"/>
      <c r="C90" s="4"/>
      <c r="D90" s="4"/>
      <c r="E90" s="5" t="s">
        <v>169</v>
      </c>
    </row>
    <row r="91" spans="1:5" ht="15.75" customHeight="1" x14ac:dyDescent="0.3">
      <c r="A91" s="31" t="s">
        <v>170</v>
      </c>
      <c r="B91" s="2"/>
      <c r="C91" s="2"/>
      <c r="D91" s="2"/>
      <c r="E91" s="3" t="s">
        <v>171</v>
      </c>
    </row>
    <row r="92" spans="1:5" ht="15.75" customHeight="1" x14ac:dyDescent="0.3">
      <c r="A92" s="31" t="s">
        <v>172</v>
      </c>
      <c r="B92" s="2"/>
      <c r="C92" s="2"/>
      <c r="D92" s="2"/>
      <c r="E92" s="3" t="s">
        <v>173</v>
      </c>
    </row>
    <row r="93" spans="1:5" ht="15.75" customHeight="1" x14ac:dyDescent="0.3">
      <c r="A93" s="31" t="s">
        <v>174</v>
      </c>
      <c r="B93" s="2"/>
      <c r="C93" s="2"/>
      <c r="D93" s="2"/>
      <c r="E93" s="3" t="s">
        <v>175</v>
      </c>
    </row>
    <row r="94" spans="1:5" ht="15.75" customHeight="1" x14ac:dyDescent="0.3">
      <c r="A94" s="31" t="s">
        <v>176</v>
      </c>
      <c r="B94" s="2"/>
      <c r="C94" s="2"/>
      <c r="D94" s="2"/>
      <c r="E94" s="3" t="s">
        <v>177</v>
      </c>
    </row>
    <row r="95" spans="1:5" ht="15.75" customHeight="1" x14ac:dyDescent="0.3">
      <c r="A95" s="31" t="s">
        <v>178</v>
      </c>
      <c r="B95" s="2"/>
      <c r="C95" s="2"/>
      <c r="D95" s="2"/>
      <c r="E95" s="3" t="s">
        <v>179</v>
      </c>
    </row>
    <row r="96" spans="1:5" ht="15.75" customHeight="1" x14ac:dyDescent="0.3">
      <c r="A96" s="31" t="s">
        <v>180</v>
      </c>
      <c r="B96" s="2"/>
      <c r="C96" s="2"/>
      <c r="D96" s="2"/>
      <c r="E96" s="3" t="s">
        <v>181</v>
      </c>
    </row>
    <row r="97" spans="1:7" ht="15.75" customHeight="1" thickBot="1" x14ac:dyDescent="0.35">
      <c r="A97" s="32" t="s">
        <v>182</v>
      </c>
      <c r="B97" s="6"/>
      <c r="C97" s="6"/>
      <c r="D97" s="6"/>
      <c r="E97" s="7" t="s">
        <v>183</v>
      </c>
    </row>
    <row r="98" spans="1:7" ht="15.75" customHeight="1" x14ac:dyDescent="0.3">
      <c r="A98" s="30" t="s">
        <v>184</v>
      </c>
      <c r="B98" s="4"/>
      <c r="C98" s="4"/>
      <c r="D98" s="4"/>
      <c r="E98" s="5" t="s">
        <v>185</v>
      </c>
    </row>
    <row r="99" spans="1:7" ht="15.75" customHeight="1" x14ac:dyDescent="0.3">
      <c r="A99" s="31" t="s">
        <v>186</v>
      </c>
      <c r="B99" s="2"/>
      <c r="C99" s="2"/>
      <c r="D99" s="2"/>
      <c r="E99" s="3" t="s">
        <v>187</v>
      </c>
    </row>
    <row r="100" spans="1:7" ht="15.75" customHeight="1" x14ac:dyDescent="0.3">
      <c r="A100" s="31" t="s">
        <v>188</v>
      </c>
      <c r="B100" s="2"/>
      <c r="C100" s="2"/>
      <c r="D100" s="2"/>
      <c r="E100" s="3" t="s">
        <v>189</v>
      </c>
    </row>
    <row r="101" spans="1:7" ht="15.75" customHeight="1" x14ac:dyDescent="0.3">
      <c r="A101" s="31" t="s">
        <v>190</v>
      </c>
      <c r="B101" s="2"/>
      <c r="C101" s="2"/>
      <c r="D101" s="2"/>
      <c r="E101" s="3" t="s">
        <v>191</v>
      </c>
    </row>
    <row r="102" spans="1:7" ht="15.75" customHeight="1" x14ac:dyDescent="0.3">
      <c r="A102" s="31" t="s">
        <v>192</v>
      </c>
      <c r="B102" s="2"/>
      <c r="C102" s="2"/>
      <c r="D102" s="2"/>
      <c r="E102" s="3" t="s">
        <v>193</v>
      </c>
    </row>
    <row r="103" spans="1:7" ht="15.75" customHeight="1" x14ac:dyDescent="0.3">
      <c r="A103" s="31" t="s">
        <v>194</v>
      </c>
      <c r="B103" s="2"/>
      <c r="C103" s="2"/>
      <c r="D103" s="2"/>
      <c r="E103" s="3" t="s">
        <v>195</v>
      </c>
    </row>
    <row r="104" spans="1:7" ht="15.75" customHeight="1" x14ac:dyDescent="0.3">
      <c r="A104" s="31" t="s">
        <v>196</v>
      </c>
      <c r="B104" s="2"/>
      <c r="C104" s="2"/>
      <c r="D104" s="2"/>
      <c r="E104" s="3" t="s">
        <v>197</v>
      </c>
    </row>
    <row r="105" spans="1:7" ht="15.75" customHeight="1" thickBot="1" x14ac:dyDescent="0.35">
      <c r="A105" s="32" t="s">
        <v>198</v>
      </c>
      <c r="B105" s="6"/>
      <c r="C105" s="6"/>
      <c r="D105" s="6"/>
      <c r="E105" s="7" t="s">
        <v>199</v>
      </c>
    </row>
    <row r="106" spans="1:7" ht="15.75" customHeight="1" x14ac:dyDescent="0.3">
      <c r="A106" s="24"/>
      <c r="B106" s="24"/>
      <c r="C106" s="24"/>
      <c r="D106" s="24"/>
      <c r="E106" s="24"/>
      <c r="F106" s="24"/>
      <c r="G106" s="24"/>
    </row>
    <row r="107" spans="1:7" ht="15.75" customHeight="1" x14ac:dyDescent="0.3">
      <c r="A107" s="24"/>
      <c r="B107" s="24"/>
      <c r="C107" s="24"/>
      <c r="D107" s="24"/>
      <c r="E107" s="24"/>
      <c r="F107" s="24"/>
      <c r="G107" s="24"/>
    </row>
    <row r="108" spans="1:7" x14ac:dyDescent="0.3">
      <c r="A108" s="24"/>
      <c r="B108" s="24"/>
      <c r="C108" s="24"/>
      <c r="D108" s="24"/>
      <c r="E108" s="24"/>
      <c r="F108" s="24"/>
      <c r="G108" s="24"/>
    </row>
    <row r="109" spans="1:7" x14ac:dyDescent="0.3">
      <c r="A109" s="24"/>
      <c r="B109" s="24"/>
      <c r="C109" s="24"/>
      <c r="D109" s="24"/>
      <c r="E109" s="24"/>
      <c r="F109" s="24"/>
      <c r="G109" s="24"/>
    </row>
    <row r="110" spans="1:7" x14ac:dyDescent="0.3">
      <c r="A110" s="24"/>
      <c r="B110" s="24"/>
      <c r="C110" s="24"/>
      <c r="D110" s="24"/>
      <c r="E110" s="24"/>
      <c r="F110" s="24"/>
      <c r="G110" s="24"/>
    </row>
    <row r="111" spans="1:7" x14ac:dyDescent="0.3">
      <c r="A111" s="24"/>
      <c r="B111" s="24"/>
      <c r="C111" s="24"/>
      <c r="D111" s="24"/>
      <c r="E111" s="24"/>
      <c r="F111" s="24"/>
      <c r="G111" s="24"/>
    </row>
    <row r="112" spans="1:7" x14ac:dyDescent="0.3">
      <c r="A112" s="24"/>
      <c r="B112" s="24"/>
      <c r="C112" s="24"/>
      <c r="D112" s="24"/>
      <c r="E112" s="24"/>
      <c r="F112" s="24"/>
      <c r="G112" s="24"/>
    </row>
    <row r="113" spans="1:7" x14ac:dyDescent="0.3">
      <c r="A113" s="24"/>
      <c r="B113" s="24"/>
      <c r="C113" s="24"/>
      <c r="D113" s="24"/>
      <c r="E113" s="24"/>
      <c r="F113" s="24"/>
      <c r="G113" s="24"/>
    </row>
    <row r="114" spans="1:7" x14ac:dyDescent="0.3">
      <c r="A114" s="24"/>
      <c r="B114" s="24"/>
      <c r="C114" s="24"/>
      <c r="D114" s="24"/>
      <c r="E114" s="24"/>
      <c r="F114" s="24"/>
      <c r="G114" s="24"/>
    </row>
    <row r="115" spans="1:7" x14ac:dyDescent="0.3">
      <c r="A115" s="24"/>
      <c r="B115" s="24"/>
      <c r="C115" s="24"/>
      <c r="D115" s="24"/>
      <c r="E115" s="24"/>
      <c r="F115" s="24"/>
      <c r="G115" s="24"/>
    </row>
  </sheetData>
  <mergeCells count="13">
    <mergeCell ref="A3:B3"/>
    <mergeCell ref="A4:B4"/>
    <mergeCell ref="C3:E3"/>
    <mergeCell ref="C4:E4"/>
    <mergeCell ref="A1:H1"/>
    <mergeCell ref="A2:B2"/>
    <mergeCell ref="C2:E2"/>
    <mergeCell ref="A6:B6"/>
    <mergeCell ref="A7:B7"/>
    <mergeCell ref="C5:E5"/>
    <mergeCell ref="C6:E6"/>
    <mergeCell ref="C7:E7"/>
    <mergeCell ref="A5:B5"/>
  </mergeCells>
  <phoneticPr fontId="5" type="noConversion"/>
  <conditionalFormatting sqref="B10:E105">
    <cfRule type="expression" dxfId="9" priority="2" stopIfTrue="1">
      <formula>COUNTIF(B10,"")</formula>
    </cfRule>
  </conditionalFormatting>
  <conditionalFormatting sqref="C2:C6">
    <cfRule type="expression" dxfId="8" priority="1">
      <formula>COUNTIF(C2,"")</formula>
    </cfRule>
  </conditionalFormatting>
  <conditionalFormatting sqref="D10:D105">
    <cfRule type="cellIs" dxfId="7" priority="6" operator="between">
      <formula>0</formula>
      <formula>15</formula>
    </cfRule>
    <cfRule type="cellIs" dxfId="6" priority="7" operator="greaterThanOrEqual">
      <formula>15</formula>
    </cfRule>
  </conditionalFormatting>
  <dataValidations count="7">
    <dataValidation type="textLength" errorStyle="warning" operator="greaterThan" allowBlank="1" showErrorMessage="1" error="The Extraction ID cannot be left blank." prompt="Enter the Extraction ID" sqref="B10:B105" xr:uid="{00000000-0002-0000-0100-000000000000}">
      <formula1>0</formula1>
      <formula2>0</formula2>
    </dataValidation>
    <dataValidation allowBlank="1" showInputMessage="1" showErrorMessage="1" errorTitle="Incorrect Format" error="Exp Number should be three digits long" sqref="C6 F6:G8" xr:uid="{7F700A24-FACB-40FF-A73D-3494166CE29A}"/>
    <dataValidation allowBlank="1" showInputMessage="1" showErrorMessage="1" errorTitle="Experimental Aim" error="The aim must be 5-20 characters long as it is used to name folders downstream so can not be too verbose." sqref="C6 F6:G8" xr:uid="{9C75F18E-0FA2-45C4-8859-DF7209A58F83}"/>
    <dataValidation type="textLength" operator="equal" allowBlank="1" showInputMessage="1" showErrorMessage="1" error="Please enter the initials for the users first and last name e.g. MW" sqref="C3 F3:G3" xr:uid="{2AAC5A81-6948-4ACD-A548-C707F177FEA5}">
      <formula1>2</formula1>
    </dataValidation>
    <dataValidation type="custom" allowBlank="1" showInputMessage="1" showErrorMessage="1" errorTitle="Incorrect Format" error="Exp Number should be three digits long" sqref="C5 F5:G5" xr:uid="{B354E1CA-6CE2-4987-A357-7F5A6832D8D5}">
      <formula1>LEN(C5)=3</formula1>
    </dataValidation>
    <dataValidation type="list" errorStyle="warning" operator="greaterThan" allowBlank="1" showErrorMessage="1" error="The Extraction ID cannot be left blank." prompt="Enter the Extraction ID" sqref="C10" xr:uid="{4671ADE5-F535-4830-AEE1-5AAFCDEB7B14}">
      <formula1>"Field,Positive,Negative"</formula1>
    </dataValidation>
    <dataValidation type="list" errorStyle="warning" operator="greaterThan" allowBlank="1" showErrorMessage="1" error="The Extraction ID cannot be left blank." prompt="Enter the Extraction ID" sqref="C11:C105" xr:uid="{90263FD8-A258-4500-8E21-E385F84EA53B}">
      <formula1>#REF!</formula1>
    </dataValidation>
  </dataValidations>
  <pageMargins left="0.23611111111111099" right="0.23611111111111099" top="0.74791666666666701" bottom="0.74791666666666701" header="0.511811023622047" footer="0.511811023622047"/>
  <pageSetup paperSize="9" scale="43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97"/>
  <sheetViews>
    <sheetView zoomScaleNormal="100" workbookViewId="0">
      <selection activeCell="D3" sqref="D3"/>
    </sheetView>
  </sheetViews>
  <sheetFormatPr defaultColWidth="8.59765625" defaultRowHeight="15.6" x14ac:dyDescent="0.3"/>
  <cols>
    <col min="1" max="1" width="11.19921875" customWidth="1"/>
    <col min="2" max="3" width="13.69921875" customWidth="1"/>
    <col min="4" max="4" width="30.59765625" customWidth="1"/>
  </cols>
  <sheetData>
    <row r="1" spans="1:4" x14ac:dyDescent="0.3">
      <c r="A1" t="s">
        <v>200</v>
      </c>
      <c r="B1" t="s">
        <v>203</v>
      </c>
      <c r="C1" t="s">
        <v>201</v>
      </c>
      <c r="D1" t="s">
        <v>211</v>
      </c>
    </row>
    <row r="2" spans="1:4" x14ac:dyDescent="0.3">
      <c r="A2" t="str">
        <f>IF(LEN(Library!B10)=0,"",Library!B10)</f>
        <v/>
      </c>
      <c r="B2" t="str">
        <f>IF(LEN(Library!C10)=0,"",Library!C10)</f>
        <v/>
      </c>
      <c r="C2" t="str">
        <f>IF(ISBLANK(Library!B10),"",CONCATENATE("barcode",Library!E10))</f>
        <v/>
      </c>
      <c r="D2" t="str">
        <f>IF(LEN(Library!D10)=0,"",Library!D10)</f>
        <v/>
      </c>
    </row>
    <row r="3" spans="1:4" x14ac:dyDescent="0.3">
      <c r="A3" t="str">
        <f>IF(LEN(Library!B11)=0,"",Library!B11)</f>
        <v/>
      </c>
      <c r="B3" t="str">
        <f>IF(LEN(Library!C11)=0,"",Library!C11)</f>
        <v/>
      </c>
      <c r="C3" t="str">
        <f>IF(ISBLANK(Library!B11),"",CONCATENATE("barcode",Library!E11))</f>
        <v/>
      </c>
      <c r="D3" t="str">
        <f>IF(LEN(Library!D11)=0,"",Library!D11)</f>
        <v/>
      </c>
    </row>
    <row r="4" spans="1:4" x14ac:dyDescent="0.3">
      <c r="A4" t="str">
        <f>IF(LEN(Library!B12)=0,"",Library!B12)</f>
        <v/>
      </c>
      <c r="B4" t="str">
        <f>IF(LEN(Library!C12)=0,"",Library!C12)</f>
        <v/>
      </c>
      <c r="C4" t="str">
        <f>IF(ISBLANK(Library!B12),"",CONCATENATE("barcode",Library!E12))</f>
        <v/>
      </c>
      <c r="D4" t="str">
        <f>IF(LEN(Library!D12)=0,"",Library!D12)</f>
        <v/>
      </c>
    </row>
    <row r="5" spans="1:4" x14ac:dyDescent="0.3">
      <c r="A5" t="str">
        <f>IF(LEN(Library!B13)=0,"",Library!B13)</f>
        <v/>
      </c>
      <c r="B5" t="str">
        <f>IF(LEN(Library!C13)=0,"",Library!C13)</f>
        <v/>
      </c>
      <c r="C5" t="str">
        <f>IF(ISBLANK(Library!B13),"",CONCATENATE("barcode",Library!E13))</f>
        <v/>
      </c>
      <c r="D5" t="str">
        <f>IF(LEN(Library!D13)=0,"",Library!D13)</f>
        <v/>
      </c>
    </row>
    <row r="6" spans="1:4" x14ac:dyDescent="0.3">
      <c r="A6" t="str">
        <f>IF(LEN(Library!B14)=0,"",Library!B14)</f>
        <v/>
      </c>
      <c r="B6" t="str">
        <f>IF(LEN(Library!C14)=0,"",Library!C14)</f>
        <v/>
      </c>
      <c r="C6" t="str">
        <f>IF(ISBLANK(Library!B14),"",CONCATENATE("barcode",Library!E14))</f>
        <v/>
      </c>
      <c r="D6" t="str">
        <f>IF(LEN(Library!D14)=0,"",Library!D14)</f>
        <v/>
      </c>
    </row>
    <row r="7" spans="1:4" x14ac:dyDescent="0.3">
      <c r="A7" t="str">
        <f>IF(LEN(Library!B15)=0,"",Library!B15)</f>
        <v/>
      </c>
      <c r="B7" t="str">
        <f>IF(LEN(Library!C15)=0,"",Library!C15)</f>
        <v/>
      </c>
      <c r="C7" t="str">
        <f>IF(ISBLANK(Library!B15),"",CONCATENATE("barcode",Library!E15))</f>
        <v/>
      </c>
      <c r="D7" t="str">
        <f>IF(LEN(Library!D15)=0,"",Library!D15)</f>
        <v/>
      </c>
    </row>
    <row r="8" spans="1:4" x14ac:dyDescent="0.3">
      <c r="A8" t="str">
        <f>IF(LEN(Library!B16)=0,"",Library!B16)</f>
        <v/>
      </c>
      <c r="B8" t="str">
        <f>IF(LEN(Library!C16)=0,"",Library!C16)</f>
        <v/>
      </c>
      <c r="C8" t="str">
        <f>IF(ISBLANK(Library!B16),"",CONCATENATE("barcode",Library!E16))</f>
        <v/>
      </c>
      <c r="D8" t="str">
        <f>IF(LEN(Library!D16)=0,"",Library!D16)</f>
        <v/>
      </c>
    </row>
    <row r="9" spans="1:4" x14ac:dyDescent="0.3">
      <c r="A9" t="str">
        <f>IF(LEN(Library!B17)=0,"",Library!B17)</f>
        <v/>
      </c>
      <c r="B9" t="str">
        <f>IF(LEN(Library!C17)=0,"",Library!C17)</f>
        <v/>
      </c>
      <c r="C9" t="str">
        <f>IF(ISBLANK(Library!B17),"",CONCATENATE("barcode",Library!E17))</f>
        <v/>
      </c>
      <c r="D9" t="str">
        <f>IF(LEN(Library!D17)=0,"",Library!D17)</f>
        <v/>
      </c>
    </row>
    <row r="10" spans="1:4" x14ac:dyDescent="0.3">
      <c r="A10" t="str">
        <f>IF(LEN(Library!B18)=0,"",Library!B18)</f>
        <v/>
      </c>
      <c r="B10" t="str">
        <f>IF(LEN(Library!C18)=0,"",Library!C18)</f>
        <v/>
      </c>
      <c r="C10" t="str">
        <f>IF(ISBLANK(Library!B18),"",CONCATENATE("barcode",Library!E18))</f>
        <v/>
      </c>
      <c r="D10" t="str">
        <f>IF(LEN(Library!D18)=0,"",Library!D18)</f>
        <v/>
      </c>
    </row>
    <row r="11" spans="1:4" x14ac:dyDescent="0.3">
      <c r="A11" t="str">
        <f>IF(LEN(Library!B19)=0,"",Library!B19)</f>
        <v/>
      </c>
      <c r="B11" t="str">
        <f>IF(LEN(Library!C19)=0,"",Library!C19)</f>
        <v/>
      </c>
      <c r="C11" t="str">
        <f>IF(ISBLANK(Library!B19),"",CONCATENATE("barcode",Library!E19))</f>
        <v/>
      </c>
      <c r="D11" t="str">
        <f>IF(LEN(Library!D19)=0,"",Library!D19)</f>
        <v/>
      </c>
    </row>
    <row r="12" spans="1:4" x14ac:dyDescent="0.3">
      <c r="A12" t="str">
        <f>IF(LEN(Library!B20)=0,"",Library!B20)</f>
        <v/>
      </c>
      <c r="B12" t="str">
        <f>IF(LEN(Library!C20)=0,"",Library!C20)</f>
        <v/>
      </c>
      <c r="C12" t="str">
        <f>IF(ISBLANK(Library!B20),"",CONCATENATE("barcode",Library!E20))</f>
        <v/>
      </c>
      <c r="D12" t="str">
        <f>IF(LEN(Library!D20)=0,"",Library!D20)</f>
        <v/>
      </c>
    </row>
    <row r="13" spans="1:4" x14ac:dyDescent="0.3">
      <c r="A13" t="str">
        <f>IF(LEN(Library!B21)=0,"",Library!B21)</f>
        <v/>
      </c>
      <c r="B13" t="str">
        <f>IF(LEN(Library!C21)=0,"",Library!C21)</f>
        <v/>
      </c>
      <c r="C13" t="str">
        <f>IF(ISBLANK(Library!B21),"",CONCATENATE("barcode",Library!E21))</f>
        <v/>
      </c>
      <c r="D13" t="str">
        <f>IF(LEN(Library!D21)=0,"",Library!D21)</f>
        <v/>
      </c>
    </row>
    <row r="14" spans="1:4" x14ac:dyDescent="0.3">
      <c r="A14" t="str">
        <f>IF(LEN(Library!B22)=0,"",Library!B22)</f>
        <v/>
      </c>
      <c r="B14" t="str">
        <f>IF(LEN(Library!C22)=0,"",Library!C22)</f>
        <v/>
      </c>
      <c r="C14" t="str">
        <f>IF(ISBLANK(Library!B22),"",CONCATENATE("barcode",Library!E22))</f>
        <v/>
      </c>
      <c r="D14" t="str">
        <f>IF(LEN(Library!D22)=0,"",Library!D22)</f>
        <v/>
      </c>
    </row>
    <row r="15" spans="1:4" x14ac:dyDescent="0.3">
      <c r="A15" t="str">
        <f>IF(LEN(Library!B23)=0,"",Library!B23)</f>
        <v/>
      </c>
      <c r="B15" t="str">
        <f>IF(LEN(Library!C23)=0,"",Library!C23)</f>
        <v/>
      </c>
      <c r="C15" t="str">
        <f>IF(ISBLANK(Library!B23),"",CONCATENATE("barcode",Library!E23))</f>
        <v/>
      </c>
      <c r="D15" t="str">
        <f>IF(LEN(Library!D23)=0,"",Library!D23)</f>
        <v/>
      </c>
    </row>
    <row r="16" spans="1:4" x14ac:dyDescent="0.3">
      <c r="A16" t="str">
        <f>IF(LEN(Library!B24)=0,"",Library!B24)</f>
        <v/>
      </c>
      <c r="B16" t="str">
        <f>IF(LEN(Library!C24)=0,"",Library!C24)</f>
        <v/>
      </c>
      <c r="C16" t="str">
        <f>IF(ISBLANK(Library!B24),"",CONCATENATE("barcode",Library!E24))</f>
        <v/>
      </c>
      <c r="D16" t="str">
        <f>IF(LEN(Library!D24)=0,"",Library!D24)</f>
        <v/>
      </c>
    </row>
    <row r="17" spans="1:4" x14ac:dyDescent="0.3">
      <c r="A17" t="str">
        <f>IF(LEN(Library!B25)=0,"",Library!B25)</f>
        <v/>
      </c>
      <c r="B17" t="str">
        <f>IF(LEN(Library!C25)=0,"",Library!C25)</f>
        <v/>
      </c>
      <c r="C17" t="str">
        <f>IF(ISBLANK(Library!B25),"",CONCATENATE("barcode",Library!E25))</f>
        <v/>
      </c>
      <c r="D17" t="str">
        <f>IF(LEN(Library!D25)=0,"",Library!D25)</f>
        <v/>
      </c>
    </row>
    <row r="18" spans="1:4" x14ac:dyDescent="0.3">
      <c r="A18" t="str">
        <f>IF(LEN(Library!B26)=0,"",Library!B26)</f>
        <v/>
      </c>
      <c r="B18" t="str">
        <f>IF(LEN(Library!C26)=0,"",Library!C26)</f>
        <v/>
      </c>
      <c r="C18" t="str">
        <f>IF(ISBLANK(Library!B26),"",CONCATENATE("barcode",Library!E26))</f>
        <v/>
      </c>
      <c r="D18" t="str">
        <f>IF(LEN(Library!D26)=0,"",Library!D26)</f>
        <v/>
      </c>
    </row>
    <row r="19" spans="1:4" x14ac:dyDescent="0.3">
      <c r="A19" t="str">
        <f>IF(LEN(Library!B27)=0,"",Library!B27)</f>
        <v/>
      </c>
      <c r="B19" t="str">
        <f>IF(LEN(Library!C27)=0,"",Library!C27)</f>
        <v/>
      </c>
      <c r="C19" t="str">
        <f>IF(ISBLANK(Library!B27),"",CONCATENATE("barcode",Library!E27))</f>
        <v/>
      </c>
      <c r="D19" t="str">
        <f>IF(LEN(Library!D27)=0,"",Library!D27)</f>
        <v/>
      </c>
    </row>
    <row r="20" spans="1:4" x14ac:dyDescent="0.3">
      <c r="A20" t="str">
        <f>IF(LEN(Library!B28)=0,"",Library!B28)</f>
        <v/>
      </c>
      <c r="B20" t="str">
        <f>IF(LEN(Library!C28)=0,"",Library!C28)</f>
        <v/>
      </c>
      <c r="C20" t="str">
        <f>IF(ISBLANK(Library!B28),"",CONCATENATE("barcode",Library!E28))</f>
        <v/>
      </c>
      <c r="D20" t="str">
        <f>IF(LEN(Library!D28)=0,"",Library!D28)</f>
        <v/>
      </c>
    </row>
    <row r="21" spans="1:4" x14ac:dyDescent="0.3">
      <c r="A21" t="str">
        <f>IF(LEN(Library!B29)=0,"",Library!B29)</f>
        <v/>
      </c>
      <c r="B21" t="str">
        <f>IF(LEN(Library!C29)=0,"",Library!C29)</f>
        <v/>
      </c>
      <c r="C21" t="str">
        <f>IF(ISBLANK(Library!B29),"",CONCATENATE("barcode",Library!E29))</f>
        <v/>
      </c>
      <c r="D21" t="str">
        <f>IF(LEN(Library!D29)=0,"",Library!D29)</f>
        <v/>
      </c>
    </row>
    <row r="22" spans="1:4" x14ac:dyDescent="0.3">
      <c r="A22" t="str">
        <f>IF(LEN(Library!B30)=0,"",Library!B30)</f>
        <v/>
      </c>
      <c r="B22" t="str">
        <f>IF(LEN(Library!C30)=0,"",Library!C30)</f>
        <v/>
      </c>
      <c r="C22" t="str">
        <f>IF(ISBLANK(Library!B30),"",CONCATENATE("barcode",Library!E30))</f>
        <v/>
      </c>
      <c r="D22" t="str">
        <f>IF(LEN(Library!D30)=0,"",Library!D30)</f>
        <v/>
      </c>
    </row>
    <row r="23" spans="1:4" x14ac:dyDescent="0.3">
      <c r="A23" t="str">
        <f>IF(LEN(Library!B31)=0,"",Library!B31)</f>
        <v/>
      </c>
      <c r="B23" t="str">
        <f>IF(LEN(Library!C31)=0,"",Library!C31)</f>
        <v/>
      </c>
      <c r="C23" t="str">
        <f>IF(ISBLANK(Library!B31),"",CONCATENATE("barcode",Library!E31))</f>
        <v/>
      </c>
      <c r="D23" t="str">
        <f>IF(LEN(Library!D31)=0,"",Library!D31)</f>
        <v/>
      </c>
    </row>
    <row r="24" spans="1:4" x14ac:dyDescent="0.3">
      <c r="A24" t="str">
        <f>IF(LEN(Library!B32)=0,"",Library!B32)</f>
        <v/>
      </c>
      <c r="B24" t="str">
        <f>IF(LEN(Library!C32)=0,"",Library!C32)</f>
        <v/>
      </c>
      <c r="C24" t="str">
        <f>IF(ISBLANK(Library!B32),"",CONCATENATE("barcode",Library!E32))</f>
        <v/>
      </c>
      <c r="D24" t="str">
        <f>IF(LEN(Library!D32)=0,"",Library!D32)</f>
        <v/>
      </c>
    </row>
    <row r="25" spans="1:4" x14ac:dyDescent="0.3">
      <c r="A25" t="str">
        <f>IF(LEN(Library!B33)=0,"",Library!B33)</f>
        <v/>
      </c>
      <c r="B25" t="str">
        <f>IF(LEN(Library!C33)=0,"",Library!C33)</f>
        <v/>
      </c>
      <c r="C25" t="str">
        <f>IF(ISBLANK(Library!B33),"",CONCATENATE("barcode",Library!E33))</f>
        <v/>
      </c>
      <c r="D25" t="str">
        <f>IF(LEN(Library!D33)=0,"",Library!D33)</f>
        <v/>
      </c>
    </row>
    <row r="26" spans="1:4" x14ac:dyDescent="0.3">
      <c r="A26" t="str">
        <f>IF(LEN(Library!B34)=0,"",Library!B34)</f>
        <v/>
      </c>
      <c r="B26" t="str">
        <f>IF(LEN(Library!C34)=0,"",Library!C34)</f>
        <v/>
      </c>
      <c r="C26" t="str">
        <f>IF(ISBLANK(Library!B34),"",CONCATENATE("barcode",Library!E34))</f>
        <v/>
      </c>
      <c r="D26" t="str">
        <f>IF(LEN(Library!D34)=0,"",Library!D34)</f>
        <v/>
      </c>
    </row>
    <row r="27" spans="1:4" x14ac:dyDescent="0.3">
      <c r="A27" t="str">
        <f>IF(LEN(Library!B35)=0,"",Library!B35)</f>
        <v/>
      </c>
      <c r="B27" t="str">
        <f>IF(LEN(Library!C35)=0,"",Library!C35)</f>
        <v/>
      </c>
      <c r="C27" t="str">
        <f>IF(ISBLANK(Library!B35),"",CONCATENATE("barcode",Library!E35))</f>
        <v/>
      </c>
      <c r="D27" t="str">
        <f>IF(LEN(Library!D35)=0,"",Library!D35)</f>
        <v/>
      </c>
    </row>
    <row r="28" spans="1:4" x14ac:dyDescent="0.3">
      <c r="A28" t="str">
        <f>IF(LEN(Library!B36)=0,"",Library!B36)</f>
        <v/>
      </c>
      <c r="B28" t="str">
        <f>IF(LEN(Library!C36)=0,"",Library!C36)</f>
        <v/>
      </c>
      <c r="C28" t="str">
        <f>IF(ISBLANK(Library!B36),"",CONCATENATE("barcode",Library!E36))</f>
        <v/>
      </c>
      <c r="D28" t="str">
        <f>IF(LEN(Library!D36)=0,"",Library!D36)</f>
        <v/>
      </c>
    </row>
    <row r="29" spans="1:4" x14ac:dyDescent="0.3">
      <c r="A29" t="str">
        <f>IF(LEN(Library!B37)=0,"",Library!B37)</f>
        <v/>
      </c>
      <c r="B29" t="str">
        <f>IF(LEN(Library!C37)=0,"",Library!C37)</f>
        <v/>
      </c>
      <c r="C29" t="str">
        <f>IF(ISBLANK(Library!B37),"",CONCATENATE("barcode",Library!E37))</f>
        <v/>
      </c>
      <c r="D29" t="str">
        <f>IF(LEN(Library!D37)=0,"",Library!D37)</f>
        <v/>
      </c>
    </row>
    <row r="30" spans="1:4" x14ac:dyDescent="0.3">
      <c r="A30" t="str">
        <f>IF(LEN(Library!B38)=0,"",Library!B38)</f>
        <v/>
      </c>
      <c r="B30" t="str">
        <f>IF(LEN(Library!C38)=0,"",Library!C38)</f>
        <v/>
      </c>
      <c r="C30" t="str">
        <f>IF(ISBLANK(Library!B38),"",CONCATENATE("barcode",Library!E38))</f>
        <v/>
      </c>
      <c r="D30" t="str">
        <f>IF(LEN(Library!D38)=0,"",Library!D38)</f>
        <v/>
      </c>
    </row>
    <row r="31" spans="1:4" x14ac:dyDescent="0.3">
      <c r="A31" t="str">
        <f>IF(LEN(Library!B39)=0,"",Library!B39)</f>
        <v/>
      </c>
      <c r="B31" t="str">
        <f>IF(LEN(Library!C39)=0,"",Library!C39)</f>
        <v/>
      </c>
      <c r="C31" t="str">
        <f>IF(ISBLANK(Library!B39),"",CONCATENATE("barcode",Library!E39))</f>
        <v/>
      </c>
      <c r="D31" t="str">
        <f>IF(LEN(Library!D39)=0,"",Library!D39)</f>
        <v/>
      </c>
    </row>
    <row r="32" spans="1:4" x14ac:dyDescent="0.3">
      <c r="A32" t="str">
        <f>IF(LEN(Library!B40)=0,"",Library!B40)</f>
        <v/>
      </c>
      <c r="B32" t="str">
        <f>IF(LEN(Library!C40)=0,"",Library!C40)</f>
        <v/>
      </c>
      <c r="C32" t="str">
        <f>IF(ISBLANK(Library!B40),"",CONCATENATE("barcode",Library!E40))</f>
        <v/>
      </c>
      <c r="D32" t="str">
        <f>IF(LEN(Library!D40)=0,"",Library!D40)</f>
        <v/>
      </c>
    </row>
    <row r="33" spans="1:4" x14ac:dyDescent="0.3">
      <c r="A33" t="str">
        <f>IF(LEN(Library!B41)=0,"",Library!B41)</f>
        <v/>
      </c>
      <c r="B33" t="str">
        <f>IF(LEN(Library!C41)=0,"",Library!C41)</f>
        <v/>
      </c>
      <c r="C33" t="str">
        <f>IF(ISBLANK(Library!B41),"",CONCATENATE("barcode",Library!E41))</f>
        <v/>
      </c>
      <c r="D33" t="str">
        <f>IF(LEN(Library!D41)=0,"",Library!D41)</f>
        <v/>
      </c>
    </row>
    <row r="34" spans="1:4" x14ac:dyDescent="0.3">
      <c r="A34" t="str">
        <f>IF(LEN(Library!B42)=0,"",Library!B42)</f>
        <v/>
      </c>
      <c r="B34" t="str">
        <f>IF(LEN(Library!C42)=0,"",Library!C42)</f>
        <v/>
      </c>
      <c r="C34" t="str">
        <f>IF(ISBLANK(Library!B42),"",CONCATENATE("barcode",Library!E42))</f>
        <v/>
      </c>
      <c r="D34" t="str">
        <f>IF(LEN(Library!D42)=0,"",Library!D42)</f>
        <v/>
      </c>
    </row>
    <row r="35" spans="1:4" x14ac:dyDescent="0.3">
      <c r="A35" t="str">
        <f>IF(LEN(Library!B43)=0,"",Library!B43)</f>
        <v/>
      </c>
      <c r="B35" t="str">
        <f>IF(LEN(Library!C43)=0,"",Library!C43)</f>
        <v/>
      </c>
      <c r="C35" t="str">
        <f>IF(ISBLANK(Library!B43),"",CONCATENATE("barcode",Library!E43))</f>
        <v/>
      </c>
      <c r="D35" t="str">
        <f>IF(LEN(Library!D43)=0,"",Library!D43)</f>
        <v/>
      </c>
    </row>
    <row r="36" spans="1:4" x14ac:dyDescent="0.3">
      <c r="A36" t="str">
        <f>IF(LEN(Library!B44)=0,"",Library!B44)</f>
        <v/>
      </c>
      <c r="B36" t="str">
        <f>IF(LEN(Library!C44)=0,"",Library!C44)</f>
        <v/>
      </c>
      <c r="C36" t="str">
        <f>IF(ISBLANK(Library!B44),"",CONCATENATE("barcode",Library!E44))</f>
        <v/>
      </c>
      <c r="D36" t="str">
        <f>IF(LEN(Library!D44)=0,"",Library!D44)</f>
        <v/>
      </c>
    </row>
    <row r="37" spans="1:4" x14ac:dyDescent="0.3">
      <c r="A37" t="str">
        <f>IF(LEN(Library!B45)=0,"",Library!B45)</f>
        <v/>
      </c>
      <c r="B37" t="str">
        <f>IF(LEN(Library!C45)=0,"",Library!C45)</f>
        <v/>
      </c>
      <c r="C37" t="str">
        <f>IF(ISBLANK(Library!B45),"",CONCATENATE("barcode",Library!E45))</f>
        <v/>
      </c>
      <c r="D37" t="str">
        <f>IF(LEN(Library!D45)=0,"",Library!D45)</f>
        <v/>
      </c>
    </row>
    <row r="38" spans="1:4" x14ac:dyDescent="0.3">
      <c r="A38" t="str">
        <f>IF(LEN(Library!B46)=0,"",Library!B46)</f>
        <v/>
      </c>
      <c r="B38" t="str">
        <f>IF(LEN(Library!C46)=0,"",Library!C46)</f>
        <v/>
      </c>
      <c r="C38" t="str">
        <f>IF(ISBLANK(Library!B46),"",CONCATENATE("barcode",Library!E46))</f>
        <v/>
      </c>
      <c r="D38" t="str">
        <f>IF(LEN(Library!D46)=0,"",Library!D46)</f>
        <v/>
      </c>
    </row>
    <row r="39" spans="1:4" x14ac:dyDescent="0.3">
      <c r="A39" t="str">
        <f>IF(LEN(Library!B47)=0,"",Library!B47)</f>
        <v/>
      </c>
      <c r="B39" t="str">
        <f>IF(LEN(Library!C47)=0,"",Library!C47)</f>
        <v/>
      </c>
      <c r="C39" t="str">
        <f>IF(ISBLANK(Library!B47),"",CONCATENATE("barcode",Library!E47))</f>
        <v/>
      </c>
      <c r="D39" t="str">
        <f>IF(LEN(Library!D47)=0,"",Library!D47)</f>
        <v/>
      </c>
    </row>
    <row r="40" spans="1:4" x14ac:dyDescent="0.3">
      <c r="A40" t="str">
        <f>IF(LEN(Library!B48)=0,"",Library!B48)</f>
        <v/>
      </c>
      <c r="B40" t="str">
        <f>IF(LEN(Library!C48)=0,"",Library!C48)</f>
        <v/>
      </c>
      <c r="C40" t="str">
        <f>IF(ISBLANK(Library!B48),"",CONCATENATE("barcode",Library!E48))</f>
        <v/>
      </c>
      <c r="D40" t="str">
        <f>IF(LEN(Library!D48)=0,"",Library!D48)</f>
        <v/>
      </c>
    </row>
    <row r="41" spans="1:4" x14ac:dyDescent="0.3">
      <c r="A41" t="str">
        <f>IF(LEN(Library!B49)=0,"",Library!B49)</f>
        <v/>
      </c>
      <c r="B41" t="str">
        <f>IF(LEN(Library!C49)=0,"",Library!C49)</f>
        <v/>
      </c>
      <c r="C41" t="str">
        <f>IF(ISBLANK(Library!B49),"",CONCATENATE("barcode",Library!E49))</f>
        <v/>
      </c>
      <c r="D41" t="str">
        <f>IF(LEN(Library!D49)=0,"",Library!D49)</f>
        <v/>
      </c>
    </row>
    <row r="42" spans="1:4" x14ac:dyDescent="0.3">
      <c r="A42" t="str">
        <f>IF(LEN(Library!B50)=0,"",Library!B50)</f>
        <v/>
      </c>
      <c r="B42" t="str">
        <f>IF(LEN(Library!C50)=0,"",Library!C50)</f>
        <v/>
      </c>
      <c r="C42" t="str">
        <f>IF(ISBLANK(Library!B50),"",CONCATENATE("barcode",Library!E50))</f>
        <v/>
      </c>
      <c r="D42" t="str">
        <f>IF(LEN(Library!D50)=0,"",Library!D50)</f>
        <v/>
      </c>
    </row>
    <row r="43" spans="1:4" x14ac:dyDescent="0.3">
      <c r="A43" t="str">
        <f>IF(LEN(Library!B51)=0,"",Library!B51)</f>
        <v/>
      </c>
      <c r="B43" t="str">
        <f>IF(LEN(Library!C51)=0,"",Library!C51)</f>
        <v/>
      </c>
      <c r="C43" t="str">
        <f>IF(ISBLANK(Library!B51),"",CONCATENATE("barcode",Library!E51))</f>
        <v/>
      </c>
      <c r="D43" t="str">
        <f>IF(LEN(Library!D51)=0,"",Library!D51)</f>
        <v/>
      </c>
    </row>
    <row r="44" spans="1:4" x14ac:dyDescent="0.3">
      <c r="A44" t="str">
        <f>IF(LEN(Library!B52)=0,"",Library!B52)</f>
        <v/>
      </c>
      <c r="B44" t="str">
        <f>IF(LEN(Library!C52)=0,"",Library!C52)</f>
        <v/>
      </c>
      <c r="C44" t="str">
        <f>IF(ISBLANK(Library!B52),"",CONCATENATE("barcode",Library!E52))</f>
        <v/>
      </c>
      <c r="D44" t="str">
        <f>IF(LEN(Library!D52)=0,"",Library!D52)</f>
        <v/>
      </c>
    </row>
    <row r="45" spans="1:4" x14ac:dyDescent="0.3">
      <c r="A45" t="str">
        <f>IF(LEN(Library!B53)=0,"",Library!B53)</f>
        <v/>
      </c>
      <c r="B45" t="str">
        <f>IF(LEN(Library!C53)=0,"",Library!C53)</f>
        <v/>
      </c>
      <c r="C45" t="str">
        <f>IF(ISBLANK(Library!B53),"",CONCATENATE("barcode",Library!E53))</f>
        <v/>
      </c>
      <c r="D45" t="str">
        <f>IF(LEN(Library!D53)=0,"",Library!D53)</f>
        <v/>
      </c>
    </row>
    <row r="46" spans="1:4" x14ac:dyDescent="0.3">
      <c r="A46" t="str">
        <f>IF(LEN(Library!B54)=0,"",Library!B54)</f>
        <v/>
      </c>
      <c r="B46" t="str">
        <f>IF(LEN(Library!C54)=0,"",Library!C54)</f>
        <v/>
      </c>
      <c r="C46" t="str">
        <f>IF(ISBLANK(Library!B54),"",CONCATENATE("barcode",Library!E54))</f>
        <v/>
      </c>
      <c r="D46" t="str">
        <f>IF(LEN(Library!D54)=0,"",Library!D54)</f>
        <v/>
      </c>
    </row>
    <row r="47" spans="1:4" x14ac:dyDescent="0.3">
      <c r="A47" t="str">
        <f>IF(LEN(Library!B55)=0,"",Library!B55)</f>
        <v/>
      </c>
      <c r="B47" t="str">
        <f>IF(LEN(Library!C55)=0,"",Library!C55)</f>
        <v/>
      </c>
      <c r="C47" t="str">
        <f>IF(ISBLANK(Library!B55),"",CONCATENATE("barcode",Library!E55))</f>
        <v/>
      </c>
      <c r="D47" t="str">
        <f>IF(LEN(Library!D55)=0,"",Library!D55)</f>
        <v/>
      </c>
    </row>
    <row r="48" spans="1:4" x14ac:dyDescent="0.3">
      <c r="A48" t="str">
        <f>IF(LEN(Library!B56)=0,"",Library!B56)</f>
        <v/>
      </c>
      <c r="B48" t="str">
        <f>IF(LEN(Library!C56)=0,"",Library!C56)</f>
        <v/>
      </c>
      <c r="C48" t="str">
        <f>IF(ISBLANK(Library!B56),"",CONCATENATE("barcode",Library!E56))</f>
        <v/>
      </c>
      <c r="D48" t="str">
        <f>IF(LEN(Library!D56)=0,"",Library!D56)</f>
        <v/>
      </c>
    </row>
    <row r="49" spans="1:4" x14ac:dyDescent="0.3">
      <c r="A49" t="str">
        <f>IF(LEN(Library!B57)=0,"",Library!B57)</f>
        <v/>
      </c>
      <c r="B49" t="str">
        <f>IF(LEN(Library!C57)=0,"",Library!C57)</f>
        <v/>
      </c>
      <c r="C49" t="str">
        <f>IF(ISBLANK(Library!B57),"",CONCATENATE("barcode",Library!E57))</f>
        <v/>
      </c>
      <c r="D49" t="str">
        <f>IF(LEN(Library!D57)=0,"",Library!D57)</f>
        <v/>
      </c>
    </row>
    <row r="50" spans="1:4" x14ac:dyDescent="0.3">
      <c r="A50" t="str">
        <f>IF(LEN(Library!B58)=0,"",Library!B58)</f>
        <v/>
      </c>
      <c r="B50" t="str">
        <f>IF(LEN(Library!C58)=0,"",Library!C58)</f>
        <v/>
      </c>
      <c r="C50" t="str">
        <f>IF(ISBLANK(Library!B58),"",CONCATENATE("barcode",Library!E58))</f>
        <v/>
      </c>
      <c r="D50" t="str">
        <f>IF(LEN(Library!D58)=0,"",Library!D58)</f>
        <v/>
      </c>
    </row>
    <row r="51" spans="1:4" x14ac:dyDescent="0.3">
      <c r="A51" t="str">
        <f>IF(LEN(Library!B59)=0,"",Library!B59)</f>
        <v/>
      </c>
      <c r="B51" t="str">
        <f>IF(LEN(Library!C59)=0,"",Library!C59)</f>
        <v/>
      </c>
      <c r="C51" t="str">
        <f>IF(ISBLANK(Library!B59),"",CONCATENATE("barcode",Library!E59))</f>
        <v/>
      </c>
      <c r="D51" t="str">
        <f>IF(LEN(Library!D59)=0,"",Library!D59)</f>
        <v/>
      </c>
    </row>
    <row r="52" spans="1:4" x14ac:dyDescent="0.3">
      <c r="A52" t="str">
        <f>IF(LEN(Library!B60)=0,"",Library!B60)</f>
        <v/>
      </c>
      <c r="B52" t="str">
        <f>IF(LEN(Library!C60)=0,"",Library!C60)</f>
        <v/>
      </c>
      <c r="C52" t="str">
        <f>IF(ISBLANK(Library!B60),"",CONCATENATE("barcode",Library!E60))</f>
        <v/>
      </c>
      <c r="D52" t="str">
        <f>IF(LEN(Library!D60)=0,"",Library!D60)</f>
        <v/>
      </c>
    </row>
    <row r="53" spans="1:4" x14ac:dyDescent="0.3">
      <c r="A53" t="str">
        <f>IF(LEN(Library!B61)=0,"",Library!B61)</f>
        <v/>
      </c>
      <c r="B53" t="str">
        <f>IF(LEN(Library!C61)=0,"",Library!C61)</f>
        <v/>
      </c>
      <c r="C53" t="str">
        <f>IF(ISBLANK(Library!B61),"",CONCATENATE("barcode",Library!E61))</f>
        <v/>
      </c>
      <c r="D53" t="str">
        <f>IF(LEN(Library!D61)=0,"",Library!D61)</f>
        <v/>
      </c>
    </row>
    <row r="54" spans="1:4" x14ac:dyDescent="0.3">
      <c r="A54" t="str">
        <f>IF(LEN(Library!B62)=0,"",Library!B62)</f>
        <v/>
      </c>
      <c r="B54" t="str">
        <f>IF(LEN(Library!C62)=0,"",Library!C62)</f>
        <v/>
      </c>
      <c r="C54" t="str">
        <f>IF(ISBLANK(Library!B62),"",CONCATENATE("barcode",Library!E62))</f>
        <v/>
      </c>
      <c r="D54" t="str">
        <f>IF(LEN(Library!D62)=0,"",Library!D62)</f>
        <v/>
      </c>
    </row>
    <row r="55" spans="1:4" x14ac:dyDescent="0.3">
      <c r="A55" t="str">
        <f>IF(LEN(Library!B63)=0,"",Library!B63)</f>
        <v/>
      </c>
      <c r="B55" t="str">
        <f>IF(LEN(Library!C63)=0,"",Library!C63)</f>
        <v/>
      </c>
      <c r="C55" t="str">
        <f>IF(ISBLANK(Library!B63),"",CONCATENATE("barcode",Library!E63))</f>
        <v/>
      </c>
      <c r="D55" t="str">
        <f>IF(LEN(Library!D63)=0,"",Library!D63)</f>
        <v/>
      </c>
    </row>
    <row r="56" spans="1:4" x14ac:dyDescent="0.3">
      <c r="A56" t="str">
        <f>IF(LEN(Library!B64)=0,"",Library!B64)</f>
        <v/>
      </c>
      <c r="B56" t="str">
        <f>IF(LEN(Library!C64)=0,"",Library!C64)</f>
        <v/>
      </c>
      <c r="C56" t="str">
        <f>IF(ISBLANK(Library!B64),"",CONCATENATE("barcode",Library!E64))</f>
        <v/>
      </c>
      <c r="D56" t="str">
        <f>IF(LEN(Library!D64)=0,"",Library!D64)</f>
        <v/>
      </c>
    </row>
    <row r="57" spans="1:4" x14ac:dyDescent="0.3">
      <c r="A57" t="str">
        <f>IF(LEN(Library!B65)=0,"",Library!B65)</f>
        <v/>
      </c>
      <c r="B57" t="str">
        <f>IF(LEN(Library!C65)=0,"",Library!C65)</f>
        <v/>
      </c>
      <c r="C57" t="str">
        <f>IF(ISBLANK(Library!B65),"",CONCATENATE("barcode",Library!E65))</f>
        <v/>
      </c>
      <c r="D57" t="str">
        <f>IF(LEN(Library!D65)=0,"",Library!D65)</f>
        <v/>
      </c>
    </row>
    <row r="58" spans="1:4" x14ac:dyDescent="0.3">
      <c r="A58" t="str">
        <f>IF(LEN(Library!B66)=0,"",Library!B66)</f>
        <v/>
      </c>
      <c r="B58" t="str">
        <f>IF(LEN(Library!C66)=0,"",Library!C66)</f>
        <v/>
      </c>
      <c r="C58" t="str">
        <f>IF(ISBLANK(Library!B66),"",CONCATENATE("barcode",Library!E66))</f>
        <v/>
      </c>
      <c r="D58" t="str">
        <f>IF(LEN(Library!D66)=0,"",Library!D66)</f>
        <v/>
      </c>
    </row>
    <row r="59" spans="1:4" x14ac:dyDescent="0.3">
      <c r="A59" t="str">
        <f>IF(LEN(Library!B67)=0,"",Library!B67)</f>
        <v/>
      </c>
      <c r="B59" t="str">
        <f>IF(LEN(Library!C67)=0,"",Library!C67)</f>
        <v/>
      </c>
      <c r="C59" t="str">
        <f>IF(ISBLANK(Library!B67),"",CONCATENATE("barcode",Library!E67))</f>
        <v/>
      </c>
      <c r="D59" t="str">
        <f>IF(LEN(Library!D67)=0,"",Library!D67)</f>
        <v/>
      </c>
    </row>
    <row r="60" spans="1:4" x14ac:dyDescent="0.3">
      <c r="A60" t="str">
        <f>IF(LEN(Library!B68)=0,"",Library!B68)</f>
        <v/>
      </c>
      <c r="B60" t="str">
        <f>IF(LEN(Library!C68)=0,"",Library!C68)</f>
        <v/>
      </c>
      <c r="C60" t="str">
        <f>IF(ISBLANK(Library!B68),"",CONCATENATE("barcode",Library!E68))</f>
        <v/>
      </c>
      <c r="D60" t="str">
        <f>IF(LEN(Library!D68)=0,"",Library!D68)</f>
        <v/>
      </c>
    </row>
    <row r="61" spans="1:4" x14ac:dyDescent="0.3">
      <c r="A61" t="str">
        <f>IF(LEN(Library!B69)=0,"",Library!B69)</f>
        <v/>
      </c>
      <c r="B61" t="str">
        <f>IF(LEN(Library!C69)=0,"",Library!C69)</f>
        <v/>
      </c>
      <c r="C61" t="str">
        <f>IF(ISBLANK(Library!B69),"",CONCATENATE("barcode",Library!E69))</f>
        <v/>
      </c>
      <c r="D61" t="str">
        <f>IF(LEN(Library!D69)=0,"",Library!D69)</f>
        <v/>
      </c>
    </row>
    <row r="62" spans="1:4" x14ac:dyDescent="0.3">
      <c r="A62" t="str">
        <f>IF(LEN(Library!B70)=0,"",Library!B70)</f>
        <v/>
      </c>
      <c r="B62" t="str">
        <f>IF(LEN(Library!C70)=0,"",Library!C70)</f>
        <v/>
      </c>
      <c r="C62" t="str">
        <f>IF(ISBLANK(Library!B70),"",CONCATENATE("barcode",Library!E70))</f>
        <v/>
      </c>
      <c r="D62" t="str">
        <f>IF(LEN(Library!D70)=0,"",Library!D70)</f>
        <v/>
      </c>
    </row>
    <row r="63" spans="1:4" x14ac:dyDescent="0.3">
      <c r="A63" t="str">
        <f>IF(LEN(Library!B71)=0,"",Library!B71)</f>
        <v/>
      </c>
      <c r="B63" t="str">
        <f>IF(LEN(Library!C71)=0,"",Library!C71)</f>
        <v/>
      </c>
      <c r="C63" t="str">
        <f>IF(ISBLANK(Library!B71),"",CONCATENATE("barcode",Library!E71))</f>
        <v/>
      </c>
      <c r="D63" t="str">
        <f>IF(LEN(Library!D71)=0,"",Library!D71)</f>
        <v/>
      </c>
    </row>
    <row r="64" spans="1:4" x14ac:dyDescent="0.3">
      <c r="A64" t="str">
        <f>IF(LEN(Library!B72)=0,"",Library!B72)</f>
        <v/>
      </c>
      <c r="B64" t="str">
        <f>IF(LEN(Library!C72)=0,"",Library!C72)</f>
        <v/>
      </c>
      <c r="C64" t="str">
        <f>IF(ISBLANK(Library!B72),"",CONCATENATE("barcode",Library!E72))</f>
        <v/>
      </c>
      <c r="D64" t="str">
        <f>IF(LEN(Library!D72)=0,"",Library!D72)</f>
        <v/>
      </c>
    </row>
    <row r="65" spans="1:4" x14ac:dyDescent="0.3">
      <c r="A65" t="str">
        <f>IF(LEN(Library!B73)=0,"",Library!B73)</f>
        <v/>
      </c>
      <c r="B65" t="str">
        <f>IF(LEN(Library!C73)=0,"",Library!C73)</f>
        <v/>
      </c>
      <c r="C65" t="str">
        <f>IF(ISBLANK(Library!B73),"",CONCATENATE("barcode",Library!E73))</f>
        <v/>
      </c>
      <c r="D65" t="str">
        <f>IF(LEN(Library!D73)=0,"",Library!D73)</f>
        <v/>
      </c>
    </row>
    <row r="66" spans="1:4" x14ac:dyDescent="0.3">
      <c r="A66" t="str">
        <f>IF(LEN(Library!B74)=0,"",Library!B74)</f>
        <v/>
      </c>
      <c r="B66" t="str">
        <f>IF(LEN(Library!C74)=0,"",Library!C74)</f>
        <v/>
      </c>
      <c r="C66" t="str">
        <f>IF(ISBLANK(Library!B74),"",CONCATENATE("barcode",Library!E74))</f>
        <v/>
      </c>
      <c r="D66" t="str">
        <f>IF(LEN(Library!D74)=0,"",Library!D74)</f>
        <v/>
      </c>
    </row>
    <row r="67" spans="1:4" x14ac:dyDescent="0.3">
      <c r="A67" t="str">
        <f>IF(LEN(Library!B75)=0,"",Library!B75)</f>
        <v/>
      </c>
      <c r="B67" t="str">
        <f>IF(LEN(Library!C75)=0,"",Library!C75)</f>
        <v/>
      </c>
      <c r="C67" t="str">
        <f>IF(ISBLANK(Library!B75),"",CONCATENATE("barcode",Library!E75))</f>
        <v/>
      </c>
      <c r="D67" t="str">
        <f>IF(LEN(Library!D75)=0,"",Library!D75)</f>
        <v/>
      </c>
    </row>
    <row r="68" spans="1:4" x14ac:dyDescent="0.3">
      <c r="A68" t="str">
        <f>IF(LEN(Library!B76)=0,"",Library!B76)</f>
        <v/>
      </c>
      <c r="B68" t="str">
        <f>IF(LEN(Library!C76)=0,"",Library!C76)</f>
        <v/>
      </c>
      <c r="C68" t="str">
        <f>IF(ISBLANK(Library!B76),"",CONCATENATE("barcode",Library!E76))</f>
        <v/>
      </c>
      <c r="D68" t="str">
        <f>IF(LEN(Library!D76)=0,"",Library!D76)</f>
        <v/>
      </c>
    </row>
    <row r="69" spans="1:4" x14ac:dyDescent="0.3">
      <c r="A69" t="str">
        <f>IF(LEN(Library!B77)=0,"",Library!B77)</f>
        <v/>
      </c>
      <c r="B69" t="str">
        <f>IF(LEN(Library!C77)=0,"",Library!C77)</f>
        <v/>
      </c>
      <c r="C69" t="str">
        <f>IF(ISBLANK(Library!B77),"",CONCATENATE("barcode",Library!E77))</f>
        <v/>
      </c>
      <c r="D69" t="str">
        <f>IF(LEN(Library!D77)=0,"",Library!D77)</f>
        <v/>
      </c>
    </row>
    <row r="70" spans="1:4" x14ac:dyDescent="0.3">
      <c r="A70" t="str">
        <f>IF(LEN(Library!B78)=0,"",Library!B78)</f>
        <v/>
      </c>
      <c r="B70" t="str">
        <f>IF(LEN(Library!C78)=0,"",Library!C78)</f>
        <v/>
      </c>
      <c r="C70" t="str">
        <f>IF(ISBLANK(Library!B78),"",CONCATENATE("barcode",Library!E78))</f>
        <v/>
      </c>
      <c r="D70" t="str">
        <f>IF(LEN(Library!D78)=0,"",Library!D78)</f>
        <v/>
      </c>
    </row>
    <row r="71" spans="1:4" x14ac:dyDescent="0.3">
      <c r="A71" t="str">
        <f>IF(LEN(Library!B79)=0,"",Library!B79)</f>
        <v/>
      </c>
      <c r="B71" t="str">
        <f>IF(LEN(Library!C79)=0,"",Library!C79)</f>
        <v/>
      </c>
      <c r="C71" t="str">
        <f>IF(ISBLANK(Library!B79),"",CONCATENATE("barcode",Library!E79))</f>
        <v/>
      </c>
      <c r="D71" t="str">
        <f>IF(LEN(Library!D79)=0,"",Library!D79)</f>
        <v/>
      </c>
    </row>
    <row r="72" spans="1:4" x14ac:dyDescent="0.3">
      <c r="A72" t="str">
        <f>IF(LEN(Library!B80)=0,"",Library!B80)</f>
        <v/>
      </c>
      <c r="B72" t="str">
        <f>IF(LEN(Library!C80)=0,"",Library!C80)</f>
        <v/>
      </c>
      <c r="C72" t="str">
        <f>IF(ISBLANK(Library!B80),"",CONCATENATE("barcode",Library!E80))</f>
        <v/>
      </c>
      <c r="D72" t="str">
        <f>IF(LEN(Library!D80)=0,"",Library!D80)</f>
        <v/>
      </c>
    </row>
    <row r="73" spans="1:4" x14ac:dyDescent="0.3">
      <c r="A73" t="str">
        <f>IF(LEN(Library!B81)=0,"",Library!B81)</f>
        <v/>
      </c>
      <c r="B73" t="str">
        <f>IF(LEN(Library!C81)=0,"",Library!C81)</f>
        <v/>
      </c>
      <c r="C73" t="str">
        <f>IF(ISBLANK(Library!B81),"",CONCATENATE("barcode",Library!E81))</f>
        <v/>
      </c>
      <c r="D73" t="str">
        <f>IF(LEN(Library!D81)=0,"",Library!D81)</f>
        <v/>
      </c>
    </row>
    <row r="74" spans="1:4" x14ac:dyDescent="0.3">
      <c r="A74" t="str">
        <f>IF(LEN(Library!B82)=0,"",Library!B82)</f>
        <v/>
      </c>
      <c r="B74" t="str">
        <f>IF(LEN(Library!C82)=0,"",Library!C82)</f>
        <v/>
      </c>
      <c r="C74" t="str">
        <f>IF(ISBLANK(Library!B82),"",CONCATENATE("barcode",Library!E82))</f>
        <v/>
      </c>
      <c r="D74" t="str">
        <f>IF(LEN(Library!D82)=0,"",Library!D82)</f>
        <v/>
      </c>
    </row>
    <row r="75" spans="1:4" x14ac:dyDescent="0.3">
      <c r="A75" t="str">
        <f>IF(LEN(Library!B83)=0,"",Library!B83)</f>
        <v/>
      </c>
      <c r="B75" t="str">
        <f>IF(LEN(Library!C83)=0,"",Library!C83)</f>
        <v/>
      </c>
      <c r="C75" t="str">
        <f>IF(ISBLANK(Library!B83),"",CONCATENATE("barcode",Library!E83))</f>
        <v/>
      </c>
      <c r="D75" t="str">
        <f>IF(LEN(Library!D83)=0,"",Library!D83)</f>
        <v/>
      </c>
    </row>
    <row r="76" spans="1:4" x14ac:dyDescent="0.3">
      <c r="A76" t="str">
        <f>IF(LEN(Library!B84)=0,"",Library!B84)</f>
        <v/>
      </c>
      <c r="B76" t="str">
        <f>IF(LEN(Library!C84)=0,"",Library!C84)</f>
        <v/>
      </c>
      <c r="C76" t="str">
        <f>IF(ISBLANK(Library!B84),"",CONCATENATE("barcode",Library!E84))</f>
        <v/>
      </c>
      <c r="D76" t="str">
        <f>IF(LEN(Library!D84)=0,"",Library!D84)</f>
        <v/>
      </c>
    </row>
    <row r="77" spans="1:4" x14ac:dyDescent="0.3">
      <c r="A77" t="str">
        <f>IF(LEN(Library!B85)=0,"",Library!B85)</f>
        <v/>
      </c>
      <c r="B77" t="str">
        <f>IF(LEN(Library!C85)=0,"",Library!C85)</f>
        <v/>
      </c>
      <c r="C77" t="str">
        <f>IF(ISBLANK(Library!B85),"",CONCATENATE("barcode",Library!E85))</f>
        <v/>
      </c>
      <c r="D77" t="str">
        <f>IF(LEN(Library!D85)=0,"",Library!D85)</f>
        <v/>
      </c>
    </row>
    <row r="78" spans="1:4" x14ac:dyDescent="0.3">
      <c r="A78" t="str">
        <f>IF(LEN(Library!B86)=0,"",Library!B86)</f>
        <v/>
      </c>
      <c r="B78" t="str">
        <f>IF(LEN(Library!C86)=0,"",Library!C86)</f>
        <v/>
      </c>
      <c r="C78" t="str">
        <f>IF(ISBLANK(Library!B86),"",CONCATENATE("barcode",Library!E86))</f>
        <v/>
      </c>
      <c r="D78" t="str">
        <f>IF(LEN(Library!D86)=0,"",Library!D86)</f>
        <v/>
      </c>
    </row>
    <row r="79" spans="1:4" x14ac:dyDescent="0.3">
      <c r="A79" t="str">
        <f>IF(LEN(Library!B87)=0,"",Library!B87)</f>
        <v/>
      </c>
      <c r="B79" t="str">
        <f>IF(LEN(Library!C87)=0,"",Library!C87)</f>
        <v/>
      </c>
      <c r="C79" t="str">
        <f>IF(ISBLANK(Library!B87),"",CONCATENATE("barcode",Library!E87))</f>
        <v/>
      </c>
      <c r="D79" t="str">
        <f>IF(LEN(Library!D87)=0,"",Library!D87)</f>
        <v/>
      </c>
    </row>
    <row r="80" spans="1:4" x14ac:dyDescent="0.3">
      <c r="A80" t="str">
        <f>IF(LEN(Library!B88)=0,"",Library!B88)</f>
        <v/>
      </c>
      <c r="B80" t="str">
        <f>IF(LEN(Library!C88)=0,"",Library!C88)</f>
        <v/>
      </c>
      <c r="C80" t="str">
        <f>IF(ISBLANK(Library!B88),"",CONCATENATE("barcode",Library!E88))</f>
        <v/>
      </c>
      <c r="D80" t="str">
        <f>IF(LEN(Library!D88)=0,"",Library!D88)</f>
        <v/>
      </c>
    </row>
    <row r="81" spans="1:4" x14ac:dyDescent="0.3">
      <c r="A81" t="str">
        <f>IF(LEN(Library!B89)=0,"",Library!B89)</f>
        <v/>
      </c>
      <c r="B81" t="str">
        <f>IF(LEN(Library!C89)=0,"",Library!C89)</f>
        <v/>
      </c>
      <c r="C81" t="str">
        <f>IF(ISBLANK(Library!B89),"",CONCATENATE("barcode",Library!E89))</f>
        <v/>
      </c>
      <c r="D81" t="str">
        <f>IF(LEN(Library!D89)=0,"",Library!D89)</f>
        <v/>
      </c>
    </row>
    <row r="82" spans="1:4" x14ac:dyDescent="0.3">
      <c r="A82" t="str">
        <f>IF(LEN(Library!B90)=0,"",Library!B90)</f>
        <v/>
      </c>
      <c r="B82" t="str">
        <f>IF(LEN(Library!C90)=0,"",Library!C90)</f>
        <v/>
      </c>
      <c r="C82" t="str">
        <f>IF(ISBLANK(Library!B90),"",CONCATENATE("barcode",Library!E90))</f>
        <v/>
      </c>
      <c r="D82" t="str">
        <f>IF(LEN(Library!D90)=0,"",Library!D90)</f>
        <v/>
      </c>
    </row>
    <row r="83" spans="1:4" x14ac:dyDescent="0.3">
      <c r="A83" t="str">
        <f>IF(LEN(Library!B91)=0,"",Library!B91)</f>
        <v/>
      </c>
      <c r="B83" t="str">
        <f>IF(LEN(Library!C91)=0,"",Library!C91)</f>
        <v/>
      </c>
      <c r="C83" t="str">
        <f>IF(ISBLANK(Library!B91),"",CONCATENATE("barcode",Library!E91))</f>
        <v/>
      </c>
      <c r="D83" t="str">
        <f>IF(LEN(Library!D91)=0,"",Library!D91)</f>
        <v/>
      </c>
    </row>
    <row r="84" spans="1:4" x14ac:dyDescent="0.3">
      <c r="A84" t="str">
        <f>IF(LEN(Library!B92)=0,"",Library!B92)</f>
        <v/>
      </c>
      <c r="B84" t="str">
        <f>IF(LEN(Library!C92)=0,"",Library!C92)</f>
        <v/>
      </c>
      <c r="C84" t="str">
        <f>IF(ISBLANK(Library!B92),"",CONCATENATE("barcode",Library!E92))</f>
        <v/>
      </c>
      <c r="D84" t="str">
        <f>IF(LEN(Library!D92)=0,"",Library!D92)</f>
        <v/>
      </c>
    </row>
    <row r="85" spans="1:4" x14ac:dyDescent="0.3">
      <c r="A85" t="str">
        <f>IF(LEN(Library!B93)=0,"",Library!B93)</f>
        <v/>
      </c>
      <c r="B85" t="str">
        <f>IF(LEN(Library!C93)=0,"",Library!C93)</f>
        <v/>
      </c>
      <c r="C85" t="str">
        <f>IF(ISBLANK(Library!B93),"",CONCATENATE("barcode",Library!E93))</f>
        <v/>
      </c>
      <c r="D85" t="str">
        <f>IF(LEN(Library!D93)=0,"",Library!D93)</f>
        <v/>
      </c>
    </row>
    <row r="86" spans="1:4" x14ac:dyDescent="0.3">
      <c r="A86" t="str">
        <f>IF(LEN(Library!B94)=0,"",Library!B94)</f>
        <v/>
      </c>
      <c r="B86" t="str">
        <f>IF(LEN(Library!C94)=0,"",Library!C94)</f>
        <v/>
      </c>
      <c r="C86" t="str">
        <f>IF(ISBLANK(Library!B94),"",CONCATENATE("barcode",Library!E94))</f>
        <v/>
      </c>
      <c r="D86" t="str">
        <f>IF(LEN(Library!D94)=0,"",Library!D94)</f>
        <v/>
      </c>
    </row>
    <row r="87" spans="1:4" x14ac:dyDescent="0.3">
      <c r="A87" t="str">
        <f>IF(LEN(Library!B95)=0,"",Library!B95)</f>
        <v/>
      </c>
      <c r="B87" t="str">
        <f>IF(LEN(Library!C95)=0,"",Library!C95)</f>
        <v/>
      </c>
      <c r="C87" t="str">
        <f>IF(ISBLANK(Library!B95),"",CONCATENATE("barcode",Library!E95))</f>
        <v/>
      </c>
      <c r="D87" t="str">
        <f>IF(LEN(Library!D95)=0,"",Library!D95)</f>
        <v/>
      </c>
    </row>
    <row r="88" spans="1:4" x14ac:dyDescent="0.3">
      <c r="A88" t="str">
        <f>IF(LEN(Library!B96)=0,"",Library!B96)</f>
        <v/>
      </c>
      <c r="B88" t="str">
        <f>IF(LEN(Library!C96)=0,"",Library!C96)</f>
        <v/>
      </c>
      <c r="C88" t="str">
        <f>IF(ISBLANK(Library!B96),"",CONCATENATE("barcode",Library!E96))</f>
        <v/>
      </c>
      <c r="D88" t="str">
        <f>IF(LEN(Library!D96)=0,"",Library!D96)</f>
        <v/>
      </c>
    </row>
    <row r="89" spans="1:4" x14ac:dyDescent="0.3">
      <c r="A89" t="str">
        <f>IF(LEN(Library!B97)=0,"",Library!B97)</f>
        <v/>
      </c>
      <c r="B89" t="str">
        <f>IF(LEN(Library!C97)=0,"",Library!C97)</f>
        <v/>
      </c>
      <c r="C89" t="str">
        <f>IF(ISBLANK(Library!B97),"",CONCATENATE("barcode",Library!E97))</f>
        <v/>
      </c>
      <c r="D89" t="str">
        <f>IF(LEN(Library!D97)=0,"",Library!D97)</f>
        <v/>
      </c>
    </row>
    <row r="90" spans="1:4" x14ac:dyDescent="0.3">
      <c r="A90" t="str">
        <f>IF(LEN(Library!B98)=0,"",Library!B98)</f>
        <v/>
      </c>
      <c r="B90" t="str">
        <f>IF(LEN(Library!C98)=0,"",Library!C98)</f>
        <v/>
      </c>
      <c r="C90" t="str">
        <f>IF(ISBLANK(Library!B98),"",CONCATENATE("barcode",Library!E98))</f>
        <v/>
      </c>
      <c r="D90" t="str">
        <f>IF(LEN(Library!D98)=0,"",Library!D98)</f>
        <v/>
      </c>
    </row>
    <row r="91" spans="1:4" x14ac:dyDescent="0.3">
      <c r="A91" t="str">
        <f>IF(LEN(Library!B99)=0,"",Library!B99)</f>
        <v/>
      </c>
      <c r="B91" t="str">
        <f>IF(LEN(Library!C99)=0,"",Library!C99)</f>
        <v/>
      </c>
      <c r="C91" t="str">
        <f>IF(ISBLANK(Library!B99),"",CONCATENATE("barcode",Library!E99))</f>
        <v/>
      </c>
      <c r="D91" t="str">
        <f>IF(LEN(Library!D99)=0,"",Library!D99)</f>
        <v/>
      </c>
    </row>
    <row r="92" spans="1:4" x14ac:dyDescent="0.3">
      <c r="A92" t="str">
        <f>IF(LEN(Library!B100)=0,"",Library!B100)</f>
        <v/>
      </c>
      <c r="B92" t="str">
        <f>IF(LEN(Library!C100)=0,"",Library!C100)</f>
        <v/>
      </c>
      <c r="C92" t="str">
        <f>IF(ISBLANK(Library!B100),"",CONCATENATE("barcode",Library!E100))</f>
        <v/>
      </c>
      <c r="D92" t="str">
        <f>IF(LEN(Library!D100)=0,"",Library!D100)</f>
        <v/>
      </c>
    </row>
    <row r="93" spans="1:4" x14ac:dyDescent="0.3">
      <c r="A93" t="str">
        <f>IF(LEN(Library!B101)=0,"",Library!B101)</f>
        <v/>
      </c>
      <c r="B93" t="str">
        <f>IF(LEN(Library!C101)=0,"",Library!C101)</f>
        <v/>
      </c>
      <c r="C93" t="str">
        <f>IF(ISBLANK(Library!B101),"",CONCATENATE("barcode",Library!E101))</f>
        <v/>
      </c>
      <c r="D93" t="str">
        <f>IF(LEN(Library!D101)=0,"",Library!D101)</f>
        <v/>
      </c>
    </row>
    <row r="94" spans="1:4" x14ac:dyDescent="0.3">
      <c r="A94" t="str">
        <f>IF(LEN(Library!B102)=0,"",Library!B102)</f>
        <v/>
      </c>
      <c r="B94" t="str">
        <f>IF(LEN(Library!C102)=0,"",Library!C102)</f>
        <v/>
      </c>
      <c r="C94" t="str">
        <f>IF(ISBLANK(Library!B102),"",CONCATENATE("barcode",Library!E102))</f>
        <v/>
      </c>
      <c r="D94" t="str">
        <f>IF(LEN(Library!D102)=0,"",Library!D102)</f>
        <v/>
      </c>
    </row>
    <row r="95" spans="1:4" x14ac:dyDescent="0.3">
      <c r="A95" t="str">
        <f>IF(LEN(Library!B103)=0,"",Library!B103)</f>
        <v/>
      </c>
      <c r="B95" t="str">
        <f>IF(LEN(Library!C103)=0,"",Library!C103)</f>
        <v/>
      </c>
      <c r="C95" t="str">
        <f>IF(ISBLANK(Library!B103),"",CONCATENATE("barcode",Library!E103))</f>
        <v/>
      </c>
      <c r="D95" t="str">
        <f>IF(LEN(Library!D103)=0,"",Library!D103)</f>
        <v/>
      </c>
    </row>
    <row r="96" spans="1:4" x14ac:dyDescent="0.3">
      <c r="A96" t="str">
        <f>IF(LEN(Library!B104)=0,"",Library!B104)</f>
        <v/>
      </c>
      <c r="B96" t="str">
        <f>IF(LEN(Library!C104)=0,"",Library!C104)</f>
        <v/>
      </c>
      <c r="C96" t="str">
        <f>IF(ISBLANK(Library!B104),"",CONCATENATE("barcode",Library!E104))</f>
        <v/>
      </c>
      <c r="D96" t="str">
        <f>IF(LEN(Library!D104)=0,"",Library!D104)</f>
        <v/>
      </c>
    </row>
    <row r="97" spans="1:4" x14ac:dyDescent="0.3">
      <c r="A97" t="str">
        <f>IF(LEN(Library!B105)=0,"",Library!B105)</f>
        <v/>
      </c>
      <c r="B97" t="str">
        <f>IF(LEN(Library!C105)=0,"",Library!C105)</f>
        <v/>
      </c>
      <c r="C97" t="str">
        <f>IF(ISBLANK(Library!B105),"",CONCATENATE("barcode",Library!E105))</f>
        <v/>
      </c>
      <c r="D97" t="str">
        <f>IF(LEN(Library!D105)=0,"",Library!D105)</f>
        <v/>
      </c>
    </row>
  </sheetData>
  <sheetProtection algorithmName="SHA-512" hashValue="3xPQ0b/tzn2kRstiisI5HHKRKYVCEvOGymGQwNY2weE/jCwbruWXpkygkZK3e21pFAqn9yoB182oDFvW5Xo9ow==" saltValue="VKYPjxAFkfQaTkoj0oFaAg==" spinCount="100000" sheet="1" selectLockedCell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</vt:lpstr>
      <vt:lpstr>nomadic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Dan Bridges</cp:lastModifiedBy>
  <cp:revision>2</cp:revision>
  <cp:lastPrinted>2025-11-12T21:21:09Z</cp:lastPrinted>
  <dcterms:created xsi:type="dcterms:W3CDTF">2022-03-21T12:22:51Z</dcterms:created>
  <dcterms:modified xsi:type="dcterms:W3CDTF">2025-11-13T00:22:31Z</dcterms:modified>
  <dc:language>en-GB</dc:language>
</cp:coreProperties>
</file>