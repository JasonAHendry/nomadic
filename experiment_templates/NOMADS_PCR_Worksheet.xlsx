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git\nomadic\experiment_templates\"/>
    </mc:Choice>
  </mc:AlternateContent>
  <xr:revisionPtr revIDLastSave="0" documentId="13_ncr:1_{4A73253C-C1FE-43C1-8B92-F252F5A549E2}" xr6:coauthVersionLast="47" xr6:coauthVersionMax="47" xr10:uidLastSave="{00000000-0000-0000-0000-000000000000}"/>
  <bookViews>
    <workbookView xWindow="-108" yWindow="-108" windowWidth="27288" windowHeight="17532" activeTab="3" xr2:uid="{202E2ACC-7D07-5944-B6D6-A1D8A2363375}"/>
  </bookViews>
  <sheets>
    <sheet name="Assay" sheetId="6" r:id="rId1"/>
    <sheet name="PCR" sheetId="1" r:id="rId2"/>
    <sheet name="Gel" sheetId="8" r:id="rId3"/>
    <sheet name="Reference" sheetId="7" r:id="rId4"/>
    <sheet name="expt_metadata" sheetId="10" state="hidden" r:id="rId5"/>
    <sheet name="rxn_metadata" sheetId="11" state="hidden" r:id="rId6"/>
  </sheets>
  <definedNames>
    <definedName name="exp_assay">Assay!$C$11</definedName>
    <definedName name="exp_date">Assay!$C$2</definedName>
    <definedName name="exp_id">Assay!$C$7</definedName>
    <definedName name="exp_notes">Assay!$C$13</definedName>
    <definedName name="exp_rxns">Assay!$C$10</definedName>
    <definedName name="exp_summary">Assay!$C$6</definedName>
    <definedName name="exp_type">Reference!$B$20</definedName>
    <definedName name="exp_version">Reference!$B$21</definedName>
    <definedName name="pcr_enzyme">Assay!$C$12</definedName>
    <definedName name="pcr_primers">Assay!#REF!</definedName>
    <definedName name="pcr_primersource">Assay!#REF!</definedName>
    <definedName name="pcr_targetpanel">Assay!#REF!</definedName>
    <definedName name="Post_PCR_target_DNA_conc">Reference!$B$17</definedName>
    <definedName name="teamplate_max_vol">Reference!$F$31</definedName>
    <definedName name="template_vol">Assay!$D$18</definedName>
    <definedName name="user_initials">Assay!$C$4</definedName>
    <definedName name="user_name">Assay!$C$3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6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4" i="1"/>
  <c r="C10" i="6"/>
  <c r="C4" i="6" a="1"/>
  <c r="C4" i="6" s="1"/>
  <c r="C7" i="6" s="1"/>
  <c r="G21" i="7"/>
  <c r="G20" i="7"/>
  <c r="G19" i="7"/>
  <c r="G18" i="7"/>
  <c r="G17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E70" i="7"/>
  <c r="E71" i="7"/>
  <c r="E72" i="7"/>
  <c r="E73" i="7"/>
  <c r="E74" i="7"/>
  <c r="E75" i="7"/>
  <c r="E69" i="7"/>
  <c r="F60" i="7" l="1"/>
  <c r="F64" i="7" s="1"/>
  <c r="F31" i="7"/>
  <c r="F50" i="7"/>
  <c r="F54" i="7" s="1"/>
  <c r="F40" i="7"/>
  <c r="F46" i="7" s="1"/>
  <c r="F36" i="7" s="1"/>
  <c r="D4" i="1"/>
  <c r="B34" i="6" s="1"/>
  <c r="D5" i="1"/>
  <c r="B35" i="6" s="1"/>
  <c r="D6" i="1"/>
  <c r="B36" i="6" s="1"/>
  <c r="D7" i="1"/>
  <c r="B37" i="6" s="1"/>
  <c r="D8" i="1"/>
  <c r="B38" i="6" s="1"/>
  <c r="D9" i="1"/>
  <c r="B39" i="6" s="1"/>
  <c r="D10" i="1"/>
  <c r="B40" i="6" s="1"/>
  <c r="D11" i="1"/>
  <c r="B41" i="6" s="1"/>
  <c r="D12" i="1"/>
  <c r="C34" i="6" s="1"/>
  <c r="D13" i="1"/>
  <c r="C35" i="6" s="1"/>
  <c r="D14" i="1"/>
  <c r="C36" i="6" s="1"/>
  <c r="D15" i="1"/>
  <c r="C37" i="6" s="1"/>
  <c r="D16" i="1"/>
  <c r="C38" i="6" s="1"/>
  <c r="D17" i="1"/>
  <c r="C39" i="6" s="1"/>
  <c r="D18" i="1"/>
  <c r="C40" i="6" s="1"/>
  <c r="D19" i="1"/>
  <c r="C41" i="6" s="1"/>
  <c r="D20" i="1"/>
  <c r="D34" i="6" s="1"/>
  <c r="D21" i="1"/>
  <c r="D35" i="6" s="1"/>
  <c r="D22" i="1"/>
  <c r="D36" i="6" s="1"/>
  <c r="D23" i="1"/>
  <c r="D37" i="6" s="1"/>
  <c r="D24" i="1"/>
  <c r="D38" i="6" s="1"/>
  <c r="D25" i="1"/>
  <c r="D39" i="6" s="1"/>
  <c r="D26" i="1"/>
  <c r="D40" i="6" s="1"/>
  <c r="D27" i="1"/>
  <c r="D41" i="6" s="1"/>
  <c r="D28" i="1"/>
  <c r="E34" i="6" s="1"/>
  <c r="D29" i="1"/>
  <c r="E35" i="6" s="1"/>
  <c r="D30" i="1"/>
  <c r="E36" i="6" s="1"/>
  <c r="D31" i="1"/>
  <c r="E37" i="6" s="1"/>
  <c r="D32" i="1"/>
  <c r="E38" i="6" s="1"/>
  <c r="D33" i="1"/>
  <c r="E39" i="6" s="1"/>
  <c r="D34" i="1"/>
  <c r="E40" i="6" s="1"/>
  <c r="D35" i="1"/>
  <c r="E41" i="6" s="1"/>
  <c r="D36" i="1"/>
  <c r="F34" i="6" s="1"/>
  <c r="D37" i="1"/>
  <c r="F35" i="6" s="1"/>
  <c r="D38" i="1"/>
  <c r="F36" i="6" s="1"/>
  <c r="D39" i="1"/>
  <c r="F37" i="6" s="1"/>
  <c r="D40" i="1"/>
  <c r="F38" i="6" s="1"/>
  <c r="D41" i="1"/>
  <c r="F39" i="6" s="1"/>
  <c r="D42" i="1"/>
  <c r="F40" i="6" s="1"/>
  <c r="D43" i="1"/>
  <c r="F41" i="6" s="1"/>
  <c r="D44" i="1"/>
  <c r="G34" i="6" s="1"/>
  <c r="D45" i="1"/>
  <c r="G35" i="6" s="1"/>
  <c r="D46" i="1"/>
  <c r="G36" i="6" s="1"/>
  <c r="D47" i="1"/>
  <c r="G37" i="6" s="1"/>
  <c r="D48" i="1"/>
  <c r="G38" i="6" s="1"/>
  <c r="D49" i="1"/>
  <c r="G39" i="6" s="1"/>
  <c r="D50" i="1"/>
  <c r="G40" i="6" s="1"/>
  <c r="D51" i="1"/>
  <c r="G41" i="6" s="1"/>
  <c r="D52" i="1"/>
  <c r="H34" i="6" s="1"/>
  <c r="D53" i="1"/>
  <c r="H35" i="6" s="1"/>
  <c r="D54" i="1"/>
  <c r="H36" i="6" s="1"/>
  <c r="D55" i="1"/>
  <c r="H37" i="6" s="1"/>
  <c r="D56" i="1"/>
  <c r="H38" i="6" s="1"/>
  <c r="D57" i="1"/>
  <c r="H39" i="6" s="1"/>
  <c r="D58" i="1"/>
  <c r="H40" i="6" s="1"/>
  <c r="D59" i="1"/>
  <c r="H41" i="6" s="1"/>
  <c r="D60" i="1"/>
  <c r="I34" i="6" s="1"/>
  <c r="D61" i="1"/>
  <c r="I35" i="6" s="1"/>
  <c r="D62" i="1"/>
  <c r="I36" i="6" s="1"/>
  <c r="D63" i="1"/>
  <c r="I37" i="6" s="1"/>
  <c r="D64" i="1"/>
  <c r="I38" i="6" s="1"/>
  <c r="D65" i="1"/>
  <c r="I39" i="6" s="1"/>
  <c r="D66" i="1"/>
  <c r="I40" i="6" s="1"/>
  <c r="D67" i="1"/>
  <c r="I41" i="6" s="1"/>
  <c r="D68" i="1"/>
  <c r="J34" i="6" s="1"/>
  <c r="D69" i="1"/>
  <c r="J35" i="6" s="1"/>
  <c r="D70" i="1"/>
  <c r="J36" i="6" s="1"/>
  <c r="D71" i="1"/>
  <c r="J37" i="6" s="1"/>
  <c r="D72" i="1"/>
  <c r="J38" i="6" s="1"/>
  <c r="D73" i="1"/>
  <c r="J39" i="6" s="1"/>
  <c r="D74" i="1"/>
  <c r="J40" i="6" s="1"/>
  <c r="D75" i="1"/>
  <c r="J41" i="6" s="1"/>
  <c r="D76" i="1"/>
  <c r="K34" i="6" s="1"/>
  <c r="D77" i="1"/>
  <c r="K35" i="6" s="1"/>
  <c r="D78" i="1"/>
  <c r="K36" i="6" s="1"/>
  <c r="D79" i="1"/>
  <c r="K37" i="6" s="1"/>
  <c r="D80" i="1"/>
  <c r="K38" i="6" s="1"/>
  <c r="D81" i="1"/>
  <c r="K39" i="6" s="1"/>
  <c r="D82" i="1"/>
  <c r="K40" i="6" s="1"/>
  <c r="D83" i="1"/>
  <c r="K41" i="6" s="1"/>
  <c r="D84" i="1"/>
  <c r="L34" i="6" s="1"/>
  <c r="D85" i="1"/>
  <c r="L35" i="6" s="1"/>
  <c r="D86" i="1"/>
  <c r="L36" i="6" s="1"/>
  <c r="D87" i="1"/>
  <c r="L37" i="6" s="1"/>
  <c r="D88" i="1"/>
  <c r="L38" i="6" s="1"/>
  <c r="D89" i="1"/>
  <c r="L39" i="6" s="1"/>
  <c r="D90" i="1"/>
  <c r="L40" i="6" s="1"/>
  <c r="D91" i="1"/>
  <c r="L41" i="6" s="1"/>
  <c r="D92" i="1"/>
  <c r="M34" i="6" s="1"/>
  <c r="D93" i="1"/>
  <c r="M35" i="6" s="1"/>
  <c r="D94" i="1"/>
  <c r="M36" i="6" s="1"/>
  <c r="D95" i="1"/>
  <c r="M37" i="6" s="1"/>
  <c r="D96" i="1"/>
  <c r="M38" i="6" s="1"/>
  <c r="D97" i="1"/>
  <c r="M39" i="6" s="1"/>
  <c r="D98" i="1"/>
  <c r="M40" i="6" s="1"/>
  <c r="D99" i="1"/>
  <c r="M41" i="6" s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J21" i="6" l="1"/>
  <c r="L21" i="6"/>
  <c r="M21" i="6"/>
  <c r="J22" i="6"/>
  <c r="L22" i="6"/>
  <c r="M22" i="6"/>
  <c r="L23" i="6"/>
  <c r="M23" i="6"/>
  <c r="J24" i="6"/>
  <c r="L24" i="6"/>
  <c r="M24" i="6"/>
  <c r="J18" i="6"/>
  <c r="L19" i="6"/>
  <c r="M19" i="6"/>
  <c r="J20" i="6"/>
  <c r="L20" i="6"/>
  <c r="M20" i="6"/>
  <c r="J23" i="6"/>
  <c r="M18" i="6"/>
  <c r="L18" i="6"/>
  <c r="J19" i="6"/>
  <c r="E36" i="7"/>
  <c r="A23" i="6" s="1"/>
  <c r="F35" i="7"/>
  <c r="D22" i="6" s="1"/>
  <c r="F22" i="6" s="1"/>
  <c r="E35" i="7"/>
  <c r="A22" i="6" s="1"/>
  <c r="E34" i="7"/>
  <c r="A21" i="6" s="1"/>
  <c r="F33" i="7"/>
  <c r="D20" i="6" s="1"/>
  <c r="F20" i="6" s="1"/>
  <c r="E33" i="7"/>
  <c r="A20" i="6" s="1"/>
  <c r="F32" i="7"/>
  <c r="E32" i="7"/>
  <c r="A19" i="6" s="1"/>
  <c r="J2" i="10"/>
  <c r="F34" i="7"/>
  <c r="D21" i="6" s="1"/>
  <c r="F21" i="6" l="1"/>
  <c r="D19" i="6"/>
  <c r="F19" i="6" s="1"/>
  <c r="D23" i="6"/>
  <c r="C2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F24" i="6" l="1"/>
  <c r="F23" i="6"/>
  <c r="A25" i="6" s="1"/>
  <c r="D24" i="6"/>
  <c r="E2" i="10"/>
  <c r="D2" i="10"/>
  <c r="I2" i="10"/>
  <c r="G2" i="10"/>
  <c r="F2" i="10"/>
  <c r="C2" i="10"/>
  <c r="B2" i="10"/>
  <c r="F17" i="6"/>
  <c r="H2" i="10"/>
  <c r="K2" i="10"/>
  <c r="C9" i="6" l="1"/>
  <c r="A2" i="10"/>
  <c r="B2" i="11" l="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A2" i="1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D97" i="11" l="1"/>
  <c r="D96" i="11"/>
  <c r="D95" i="11"/>
  <c r="D94" i="11"/>
  <c r="D93" i="11"/>
  <c r="D92" i="11"/>
  <c r="D91" i="11"/>
  <c r="D90" i="11"/>
  <c r="D89" i="11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<sst xmlns="http://schemas.openxmlformats.org/spreadsheetml/2006/main" count="299" uniqueCount="232">
  <si>
    <t>Assumptions</t>
  </si>
  <si>
    <t>Required fields</t>
  </si>
  <si>
    <t>Calculated fields</t>
  </si>
  <si>
    <t>Sample ID</t>
  </si>
  <si>
    <t>Item</t>
  </si>
  <si>
    <t>Per tube (µl)</t>
  </si>
  <si>
    <r>
      <t>Temperature (</t>
    </r>
    <r>
      <rPr>
        <vertAlign val="superscript"/>
        <sz val="12"/>
        <color theme="1"/>
        <rFont val="Calibri"/>
        <family val="2"/>
        <scheme val="minor"/>
      </rPr>
      <t>o</t>
    </r>
    <r>
      <rPr>
        <sz val="12"/>
        <color theme="1"/>
        <rFont val="Calibri"/>
        <family val="2"/>
        <scheme val="minor"/>
      </rPr>
      <t>C)</t>
    </r>
  </si>
  <si>
    <t>-</t>
  </si>
  <si>
    <t>Cycles</t>
  </si>
  <si>
    <t>x30</t>
  </si>
  <si>
    <t>Primer pool (10 μM)</t>
  </si>
  <si>
    <t>Water</t>
  </si>
  <si>
    <t>Time</t>
  </si>
  <si>
    <t>3 min</t>
  </si>
  <si>
    <t>20 sec</t>
  </si>
  <si>
    <t>15 sec</t>
  </si>
  <si>
    <t>6 min</t>
  </si>
  <si>
    <t>10 min</t>
  </si>
  <si>
    <t>Sample Information</t>
  </si>
  <si>
    <t>Extraction ID</t>
  </si>
  <si>
    <t>Description</t>
  </si>
  <si>
    <t>PCR</t>
  </si>
  <si>
    <t>Overage</t>
  </si>
  <si>
    <t>Look-ups</t>
  </si>
  <si>
    <t>A</t>
  </si>
  <si>
    <t>B</t>
  </si>
  <si>
    <t>C</t>
  </si>
  <si>
    <t>D</t>
  </si>
  <si>
    <t>E</t>
  </si>
  <si>
    <t>F</t>
  </si>
  <si>
    <t>G</t>
  </si>
  <si>
    <t>H</t>
  </si>
  <si>
    <t>#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</si>
  <si>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</si>
  <si>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</si>
  <si>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</si>
  <si>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</si>
  <si>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</si>
  <si>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</si>
  <si>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</si>
  <si>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</si>
  <si>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</si>
  <si>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</si>
  <si>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</si>
  <si>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</si>
  <si>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</si>
  <si>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</si>
  <si>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</si>
  <si>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</si>
  <si>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</si>
  <si>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</si>
  <si>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</si>
  <si>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</si>
  <si>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</si>
  <si>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</si>
  <si>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</si>
  <si>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D1</t>
  </si>
  <si>
    <t>D2</t>
  </si>
  <si>
    <t>E1</t>
  </si>
  <si>
    <t>F1</t>
  </si>
  <si>
    <t>G1</t>
  </si>
  <si>
    <t>H1</t>
  </si>
  <si>
    <t>E2</t>
  </si>
  <si>
    <t>F2</t>
  </si>
  <si>
    <t>G2</t>
  </si>
  <si>
    <t>H2</t>
  </si>
  <si>
    <t>C3</t>
  </si>
  <si>
    <t>D3</t>
  </si>
  <si>
    <t>E3</t>
  </si>
  <si>
    <t>F3</t>
  </si>
  <si>
    <t>G3</t>
  </si>
  <si>
    <t>H3</t>
  </si>
  <si>
    <t>C4</t>
  </si>
  <si>
    <t>D4</t>
  </si>
  <si>
    <t>E4</t>
  </si>
  <si>
    <t>F4</t>
  </si>
  <si>
    <t>G4</t>
  </si>
  <si>
    <t>H4</t>
  </si>
  <si>
    <t>C5</t>
  </si>
  <si>
    <t>D5</t>
  </si>
  <si>
    <t>E5</t>
  </si>
  <si>
    <t>F5</t>
  </si>
  <si>
    <t>G5</t>
  </si>
  <si>
    <t>H5</t>
  </si>
  <si>
    <t>C6</t>
  </si>
  <si>
    <t>D6</t>
  </si>
  <si>
    <t>E6</t>
  </si>
  <si>
    <t>F6</t>
  </si>
  <si>
    <t>G6</t>
  </si>
  <si>
    <t>H6</t>
  </si>
  <si>
    <t>C7</t>
  </si>
  <si>
    <t>D7</t>
  </si>
  <si>
    <t>E7</t>
  </si>
  <si>
    <t>F7</t>
  </si>
  <si>
    <t>G7</t>
  </si>
  <si>
    <t>H7</t>
  </si>
  <si>
    <t>C8</t>
  </si>
  <si>
    <t>D8</t>
  </si>
  <si>
    <t>E8</t>
  </si>
  <si>
    <t>F8</t>
  </si>
  <si>
    <t>G8</t>
  </si>
  <si>
    <t>H8</t>
  </si>
  <si>
    <t>C9</t>
  </si>
  <si>
    <t>D9</t>
  </si>
  <si>
    <t>E9</t>
  </si>
  <si>
    <t>F9</t>
  </si>
  <si>
    <t>G9</t>
  </si>
  <si>
    <t>H9</t>
  </si>
  <si>
    <t>B10</t>
  </si>
  <si>
    <t>C10</t>
  </si>
  <si>
    <t>D10</t>
  </si>
  <si>
    <t>E10</t>
  </si>
  <si>
    <t>F10</t>
  </si>
  <si>
    <t>G10</t>
  </si>
  <si>
    <t>H10</t>
  </si>
  <si>
    <t>B11</t>
  </si>
  <si>
    <t>C11</t>
  </si>
  <si>
    <t>D11</t>
  </si>
  <si>
    <t>E11</t>
  </si>
  <si>
    <t>F11</t>
  </si>
  <si>
    <t>G11</t>
  </si>
  <si>
    <t>H11</t>
  </si>
  <si>
    <t>B12</t>
  </si>
  <si>
    <t>C12</t>
  </si>
  <si>
    <t>D12</t>
  </si>
  <si>
    <t>E12</t>
  </si>
  <si>
    <t>F12</t>
  </si>
  <si>
    <t>G12</t>
  </si>
  <si>
    <t>H12</t>
  </si>
  <si>
    <t>Well</t>
  </si>
  <si>
    <t>PCR Dilution Factor</t>
  </si>
  <si>
    <t>Date:</t>
  </si>
  <si>
    <t>Exp Name:</t>
  </si>
  <si>
    <t>Number of samples:</t>
  </si>
  <si>
    <r>
      <t>3. Quantify 1 µl (199 µl WS 1X HS DNA). Dilute in NF H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 if required</t>
    </r>
  </si>
  <si>
    <t>KEY</t>
  </si>
  <si>
    <t>(YYYY-MM-DD)</t>
  </si>
  <si>
    <t>NOMADS8</t>
  </si>
  <si>
    <t>NOMADS16</t>
  </si>
  <si>
    <t>Assay Name:</t>
  </si>
  <si>
    <t>User:</t>
  </si>
  <si>
    <t>Exp ID:</t>
  </si>
  <si>
    <t>(three digit ID created by the user)</t>
  </si>
  <si>
    <t>(select from dropdown)</t>
  </si>
  <si>
    <t>Qubit PCR [DNA] (ng/µl)</t>
  </si>
  <si>
    <t>PCR [DNA] (ng / µl)</t>
  </si>
  <si>
    <t>Exp Number:</t>
  </si>
  <si>
    <t>1 -Multiplex PCR</t>
  </si>
  <si>
    <t>NOMADS PCR Worksheet</t>
  </si>
  <si>
    <t>(Enter in Gel Image Tab)</t>
  </si>
  <si>
    <t>(Enter in PCR Tab)</t>
  </si>
  <si>
    <t>(PC = PCR)</t>
  </si>
  <si>
    <t>expt_id</t>
  </si>
  <si>
    <t>expt_date</t>
  </si>
  <si>
    <t>expt_user</t>
  </si>
  <si>
    <t>Experiment</t>
  </si>
  <si>
    <t>version</t>
  </si>
  <si>
    <t>type</t>
  </si>
  <si>
    <t>expt_version</t>
  </si>
  <si>
    <t>expt_type</t>
  </si>
  <si>
    <t>sample_id</t>
  </si>
  <si>
    <t>extraction_id</t>
  </si>
  <si>
    <t>expt_assay</t>
  </si>
  <si>
    <t>pcr_product_ngul</t>
  </si>
  <si>
    <t>Notes:</t>
  </si>
  <si>
    <t>expt_notes</t>
  </si>
  <si>
    <t>Exp Summary:</t>
  </si>
  <si>
    <t>expt_summary</t>
  </si>
  <si>
    <t>expt_rxns</t>
  </si>
  <si>
    <t>Do NOT use any commas</t>
  </si>
  <si>
    <t>Filename:</t>
  </si>
  <si>
    <t>NOMADS_MVP</t>
  </si>
  <si>
    <t>pcr_enzyme</t>
  </si>
  <si>
    <t>Changelog from previous version</t>
  </si>
  <si>
    <t>Template</t>
  </si>
  <si>
    <t>Q5 Master Mix</t>
  </si>
  <si>
    <t>Buffer</t>
  </si>
  <si>
    <t>Instructions</t>
  </si>
  <si>
    <t>Process</t>
  </si>
  <si>
    <t>10mM dNTPs</t>
  </si>
  <si>
    <t>DNA Source</t>
  </si>
  <si>
    <t>DNA Polymerase</t>
  </si>
  <si>
    <t>sWGA product</t>
  </si>
  <si>
    <t>Extracted DNA</t>
  </si>
  <si>
    <t>KAPA HiFi</t>
  </si>
  <si>
    <t>Q5</t>
  </si>
  <si>
    <t>KAPA HiFi ReadyMix</t>
  </si>
  <si>
    <t>KAPA HiFI ReadyMix</t>
  </si>
  <si>
    <t>PCR Enzyme:</t>
  </si>
  <si>
    <t>Anoph IR</t>
  </si>
  <si>
    <t>Anoph Speciation</t>
  </si>
  <si>
    <t>Sample Type</t>
  </si>
  <si>
    <t>sample_type</t>
  </si>
  <si>
    <t>Field</t>
  </si>
  <si>
    <t>Positive</t>
  </si>
  <si>
    <t>Negative</t>
  </si>
  <si>
    <t>x35</t>
  </si>
  <si>
    <t>Selected Primer Set</t>
  </si>
  <si>
    <t>Selected polymerase</t>
  </si>
  <si>
    <t>KAPA HiFI ReadyMix (2x)</t>
  </si>
  <si>
    <t>∞</t>
  </si>
  <si>
    <t>Select ID to reference in platemap:</t>
  </si>
  <si>
    <t>ID for Plate Layout</t>
  </si>
  <si>
    <t>Column</t>
  </si>
  <si>
    <t>Platemap ID</t>
  </si>
  <si>
    <t>Template max vol (ul)</t>
  </si>
  <si>
    <t>Components (no water)</t>
  </si>
  <si>
    <t>Rxn volume</t>
  </si>
  <si>
    <t>1. Run 1 µl of PCR product on a 1% agarose gel, picture and annotate it</t>
  </si>
  <si>
    <t>2. Clean-up with 12 µl (0.5X) AMPPure beads per sample, mix and incubate at RT for 5 min. Pellet on magnet for 8 min and wash 2 x 200 µl 80%  fresh EtoH, spin, dry, then re-suspend in 15 µl EB and transfer to fresh tube / well</t>
  </si>
  <si>
    <t>ng/ul</t>
  </si>
  <si>
    <t>Post-PCR clean-up target [DNA]</t>
  </si>
  <si>
    <t>pcr_template_vol</t>
  </si>
  <si>
    <r>
      <t xml:space="preserve">Reference values </t>
    </r>
    <r>
      <rPr>
        <u/>
        <sz val="20"/>
        <color rgb="FF000000"/>
        <rFont val="Calibri"/>
        <family val="2"/>
      </rPr>
      <t>(change only if required)</t>
    </r>
  </si>
  <si>
    <r>
      <t xml:space="preserve">1. Enter all details into the </t>
    </r>
    <r>
      <rPr>
        <b/>
        <sz val="24"/>
        <color theme="1"/>
        <rFont val="Calibri"/>
        <family val="2"/>
        <scheme val="minor"/>
      </rPr>
      <t>'Assay'</t>
    </r>
    <r>
      <rPr>
        <sz val="24"/>
        <color theme="1"/>
        <rFont val="Calibri"/>
        <family val="2"/>
        <scheme val="minor"/>
      </rPr>
      <t xml:space="preserve"> (experiment level) and </t>
    </r>
    <r>
      <rPr>
        <b/>
        <sz val="24"/>
        <color theme="1"/>
        <rFont val="Calibri"/>
        <family val="2"/>
        <scheme val="minor"/>
      </rPr>
      <t>'PCR'</t>
    </r>
    <r>
      <rPr>
        <sz val="24"/>
        <color theme="1"/>
        <rFont val="Calibri"/>
        <family val="2"/>
        <scheme val="minor"/>
      </rPr>
      <t xml:space="preserve"> (reaction level) tabs, ensuring all yellow highlighted cells are complete</t>
    </r>
  </si>
  <si>
    <t>Copy these columns to the library template</t>
  </si>
  <si>
    <r>
      <t>2. Paste gel picture into the '</t>
    </r>
    <r>
      <rPr>
        <b/>
        <sz val="26"/>
        <color rgb="FF000000"/>
        <rFont val="Calibri"/>
        <family val="2"/>
      </rPr>
      <t>Gel</t>
    </r>
    <r>
      <rPr>
        <sz val="26"/>
        <color rgb="FF000000"/>
        <rFont val="Calibri"/>
        <family val="2"/>
      </rPr>
      <t>' tab and label lanes</t>
    </r>
  </si>
  <si>
    <t>To prevent inadvertent loss of data, cells are protected from editing, you can only select unlocked cells, use tab to navigate</t>
  </si>
  <si>
    <t>This template is to be used to record PCR amplification as part of a NOMADS sequencing run.</t>
  </si>
  <si>
    <t>Assays</t>
  </si>
  <si>
    <t>Total volume:</t>
  </si>
  <si>
    <t>2- Post-PCR</t>
  </si>
  <si>
    <t>User Initials:</t>
  </si>
  <si>
    <t>(enter name)</t>
  </si>
  <si>
    <t>(enter human readable detail)</t>
  </si>
  <si>
    <t>(calculated from PCR tab)</t>
  </si>
  <si>
    <t>Removed multiple details not being used</t>
  </si>
  <si>
    <t>Removed usernames and projects</t>
  </si>
  <si>
    <t xml:space="preserve">   - Crop the image to just the relevent areas</t>
  </si>
  <si>
    <t xml:space="preserve">   - Compress by selecting the image: Picture format (ribbon) &gt; Compress Pictures &gt; Use these settings </t>
  </si>
  <si>
    <r>
      <t xml:space="preserve">      - when copying from another worksheet, always right-click and paste </t>
    </r>
    <r>
      <rPr>
        <b/>
        <sz val="18"/>
        <color theme="1"/>
        <rFont val="Calibri"/>
        <family val="2"/>
        <scheme val="minor"/>
      </rPr>
      <t>VALUES</t>
    </r>
    <r>
      <rPr>
        <sz val="18"/>
        <color theme="1"/>
        <rFont val="Calibri"/>
        <family val="2"/>
        <scheme val="minor"/>
      </rPr>
      <t>:</t>
    </r>
  </si>
  <si>
    <r>
      <t xml:space="preserve">   - Copy list of samples from '</t>
    </r>
    <r>
      <rPr>
        <b/>
        <sz val="18"/>
        <color theme="1"/>
        <rFont val="Calibri"/>
        <family val="2"/>
        <scheme val="minor"/>
      </rPr>
      <t>PCR</t>
    </r>
    <r>
      <rPr>
        <sz val="18"/>
        <color theme="1"/>
        <rFont val="Calibri"/>
        <family val="2"/>
        <scheme val="minor"/>
      </rPr>
      <t>' tab. Paste Special with Transpose if converting from list to rows: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</si>
</sst>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(* #,##0.00_);_(* \(#,##0.00\);_(* &quot;-&quot;??_);_(@_)"/>
    <numFmt numFmtId="166" formatCode="0.0%"/>
  </numFmts>
  <fonts count="26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u/>
      <sz val="36"/>
      <color rgb="FF000000"/>
      <name val="Calibri"/>
      <family val="2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theme="1"/>
      <name val="Aptos Narrow"/>
      <family val="2"/>
    </font>
    <font>
      <sz val="10"/>
      <color theme="1"/>
      <name val="Andale Mono"/>
      <family val="2"/>
    </font>
    <font>
      <sz val="26"/>
      <color rgb="FF000000"/>
      <name val="Calibri"/>
      <family val="2"/>
    </font>
    <font>
      <b/>
      <u/>
      <sz val="26"/>
      <color theme="1"/>
      <name val="Calibri"/>
      <family val="2"/>
      <scheme val="minor"/>
    </font>
    <font>
      <u/>
      <sz val="20"/>
      <color rgb="FF000000"/>
      <name val="Calibri"/>
      <family val="2"/>
    </font>
    <font>
      <b/>
      <sz val="26"/>
      <color rgb="FF000000"/>
      <name val="Calibri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7">
    <xf numFmtId="0" fontId="0" fillId="0" borderId="0"/>
    <xf numFmtId="0" fontId="5" fillId="0" borderId="0"/>
    <xf numFmtId="0" fontId="4" fillId="0" borderId="0"/>
    <xf numFmtId="0" fontId="3" fillId="0" borderId="0"/>
    <xf numFmtId="165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0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3" borderId="1" xfId="0" applyFill="1" applyBorder="1" applyAlignment="1">
      <alignment horizontal="center"/>
    </xf>
    <xf numFmtId="0" fontId="3" fillId="0" borderId="0" xfId="3"/>
    <xf numFmtId="0" fontId="9" fillId="0" borderId="0" xfId="3" applyFont="1"/>
    <xf numFmtId="0" fontId="2" fillId="0" borderId="0" xfId="3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14" fontId="8" fillId="0" borderId="0" xfId="0" applyNumberFormat="1" applyFont="1" applyAlignment="1">
      <alignment horizontal="center" wrapText="1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right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0" fillId="0" borderId="0" xfId="0" applyAlignment="1">
      <alignment horizontal="left"/>
    </xf>
    <xf numFmtId="0" fontId="10" fillId="0" borderId="0" xfId="0" applyFont="1"/>
    <xf numFmtId="0" fontId="0" fillId="0" borderId="0" xfId="0" applyAlignment="1">
      <alignment horizontal="left" wrapText="1"/>
    </xf>
    <xf numFmtId="0" fontId="7" fillId="7" borderId="2" xfId="0" applyFont="1" applyFill="1" applyBorder="1"/>
    <xf numFmtId="0" fontId="0" fillId="7" borderId="2" xfId="0" applyFill="1" applyBorder="1"/>
    <xf numFmtId="0" fontId="0" fillId="0" borderId="0" xfId="0" applyAlignment="1">
      <alignment horizontal="left" vertical="top"/>
    </xf>
    <xf numFmtId="0" fontId="0" fillId="4" borderId="1" xfId="0" applyFill="1" applyBorder="1"/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right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Alignment="1">
      <alignment horizontal="right" wrapText="1"/>
    </xf>
    <xf numFmtId="0" fontId="15" fillId="0" borderId="0" xfId="0" applyFont="1"/>
    <xf numFmtId="0" fontId="16" fillId="0" borderId="0" xfId="0" applyFont="1"/>
    <xf numFmtId="0" fontId="0" fillId="0" borderId="1" xfId="0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0" fillId="3" borderId="0" xfId="0" applyFill="1"/>
    <xf numFmtId="0" fontId="18" fillId="0" borderId="0" xfId="0" applyFont="1"/>
    <xf numFmtId="0" fontId="0" fillId="0" borderId="5" xfId="0" applyBorder="1" applyAlignment="1">
      <alignment horizontal="center"/>
    </xf>
    <xf numFmtId="0" fontId="14" fillId="0" borderId="7" xfId="0" applyFont="1" applyBorder="1" applyAlignment="1" applyProtection="1">
      <alignment horizontal="center" wrapText="1"/>
      <protection locked="0"/>
    </xf>
    <xf numFmtId="0" fontId="14" fillId="5" borderId="8" xfId="0" applyFont="1" applyFill="1" applyBorder="1" applyAlignment="1" applyProtection="1">
      <alignment horizontal="center" wrapText="1"/>
      <protection locked="0"/>
    </xf>
    <xf numFmtId="0" fontId="14" fillId="6" borderId="8" xfId="0" applyFont="1" applyFill="1" applyBorder="1" applyAlignment="1" applyProtection="1">
      <alignment horizontal="center" wrapText="1"/>
      <protection locked="0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 applyProtection="1">
      <alignment horizontal="center"/>
      <protection locked="0"/>
    </xf>
    <xf numFmtId="0" fontId="0" fillId="0" borderId="11" xfId="0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 applyProtection="1">
      <alignment horizontal="center"/>
      <protection locked="0"/>
    </xf>
    <xf numFmtId="0" fontId="0" fillId="0" borderId="15" xfId="0" applyBorder="1" applyAlignment="1">
      <alignment horizontal="center"/>
    </xf>
    <xf numFmtId="0" fontId="0" fillId="0" borderId="16" xfId="0" applyBorder="1" applyAlignment="1" applyProtection="1">
      <alignment horizontal="center"/>
      <protection locked="0"/>
    </xf>
    <xf numFmtId="0" fontId="0" fillId="3" borderId="16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10" fillId="0" borderId="0" xfId="0" applyFont="1" applyAlignment="1">
      <alignment horizontal="left" vertical="center"/>
    </xf>
    <xf numFmtId="2" fontId="0" fillId="0" borderId="0" xfId="0" applyNumberFormat="1"/>
    <xf numFmtId="0" fontId="1" fillId="0" borderId="0" xfId="3" applyFont="1"/>
    <xf numFmtId="0" fontId="19" fillId="0" borderId="1" xfId="0" applyFont="1" applyBorder="1" applyAlignment="1" applyProtection="1">
      <alignment horizontal="center"/>
      <protection locked="0"/>
    </xf>
    <xf numFmtId="0" fontId="20" fillId="0" borderId="0" xfId="0" applyFont="1"/>
    <xf numFmtId="0" fontId="21" fillId="0" borderId="0" xfId="0" applyFont="1"/>
    <xf numFmtId="0" fontId="7" fillId="0" borderId="0" xfId="0" applyFont="1" applyAlignment="1">
      <alignment horizontal="right"/>
    </xf>
    <xf numFmtId="166" fontId="8" fillId="0" borderId="0" xfId="6" applyNumberFormat="1" applyFont="1" applyAlignment="1" applyProtection="1">
      <alignment horizontal="center" wrapText="1"/>
      <protection locked="0"/>
    </xf>
    <xf numFmtId="1" fontId="8" fillId="0" borderId="0" xfId="5" applyNumberFormat="1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5" borderId="0" xfId="0" applyFill="1" applyAlignment="1">
      <alignment horizontal="center" vertical="center"/>
    </xf>
    <xf numFmtId="0" fontId="8" fillId="0" borderId="0" xfId="0" applyFont="1" applyAlignment="1">
      <alignment horizontal="center" wrapText="1"/>
    </xf>
    <xf numFmtId="164" fontId="8" fillId="8" borderId="0" xfId="0" applyNumberFormat="1" applyFont="1" applyFill="1" applyAlignment="1">
      <alignment horizontal="center" vertical="center" wrapText="1"/>
    </xf>
    <xf numFmtId="0" fontId="8" fillId="8" borderId="0" xfId="0" applyFont="1" applyFill="1" applyAlignment="1">
      <alignment horizontal="center"/>
    </xf>
    <xf numFmtId="0" fontId="8" fillId="0" borderId="0" xfId="0" applyFont="1" applyAlignment="1" applyProtection="1">
      <alignment horizontal="center"/>
      <protection locked="0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right" wrapText="1"/>
    </xf>
    <xf numFmtId="0" fontId="8" fillId="0" borderId="0" xfId="0" applyFont="1" applyAlignment="1">
      <alignment horizontal="right" wrapText="1"/>
    </xf>
    <xf numFmtId="0" fontId="0" fillId="6" borderId="0" xfId="0" applyFill="1" applyAlignment="1">
      <alignment horizontal="center" vertical="center"/>
    </xf>
    <xf numFmtId="1" fontId="8" fillId="0" borderId="0" xfId="5" applyNumberFormat="1" applyFont="1" applyAlignment="1" applyProtection="1">
      <alignment horizontal="center" vertical="center" wrapText="1"/>
      <protection locked="0"/>
    </xf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0" fillId="8" borderId="0" xfId="0" applyFill="1" applyAlignment="1">
      <alignment horizontal="right" wrapText="1"/>
    </xf>
    <xf numFmtId="0" fontId="8" fillId="8" borderId="0" xfId="0" applyFont="1" applyFill="1" applyAlignment="1">
      <alignment horizontal="right" wrapText="1"/>
    </xf>
    <xf numFmtId="49" fontId="0" fillId="0" borderId="0" xfId="0" applyNumberFormat="1" applyAlignment="1" applyProtection="1">
      <alignment horizontal="center" vertical="center" wrapText="1"/>
      <protection locked="0"/>
    </xf>
    <xf numFmtId="14" fontId="8" fillId="0" borderId="0" xfId="0" applyNumberFormat="1" applyFont="1" applyAlignment="1" applyProtection="1">
      <alignment horizontal="center" vertical="center" wrapText="1"/>
      <protection locked="0"/>
    </xf>
    <xf numFmtId="0" fontId="0" fillId="8" borderId="0" xfId="0" applyFill="1" applyAlignment="1">
      <alignment horizontal="center" vertical="center"/>
    </xf>
    <xf numFmtId="0" fontId="8" fillId="8" borderId="0" xfId="5" applyNumberFormat="1" applyFont="1" applyFill="1" applyAlignment="1" applyProtection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wrapText="1"/>
    </xf>
    <xf numFmtId="0" fontId="8" fillId="2" borderId="0" xfId="0" applyFont="1" applyFill="1" applyAlignment="1">
      <alignment horizontal="center"/>
    </xf>
    <xf numFmtId="0" fontId="8" fillId="8" borderId="0" xfId="0" applyFont="1" applyFill="1" applyAlignment="1">
      <alignment horizontal="center" wrapText="1"/>
    </xf>
    <xf numFmtId="0" fontId="8" fillId="9" borderId="0" xfId="0" applyFont="1" applyFill="1" applyAlignment="1">
      <alignment horizontal="center" wrapText="1"/>
    </xf>
    <xf numFmtId="0" fontId="0" fillId="0" borderId="0" xfId="0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8" fillId="0" borderId="0" xfId="0" applyFont="1" applyAlignment="1">
      <alignment horizontal="right"/>
    </xf>
    <xf numFmtId="0" fontId="8" fillId="8" borderId="0" xfId="0" applyFont="1" applyFill="1" applyAlignment="1">
      <alignment horizontal="right"/>
    </xf>
    <xf numFmtId="1" fontId="8" fillId="8" borderId="0" xfId="5" applyNumberFormat="1" applyFont="1" applyFill="1" applyAlignment="1">
      <alignment horizontal="center" vertical="center"/>
    </xf>
    <xf numFmtId="1" fontId="8" fillId="0" borderId="0" xfId="5" applyNumberFormat="1" applyFont="1" applyFill="1" applyAlignment="1" applyProtection="1">
      <alignment horizontal="center" vertical="center" wrapText="1"/>
      <protection locked="0"/>
    </xf>
    <xf numFmtId="14" fontId="8" fillId="0" borderId="0" xfId="0" applyNumberFormat="1" applyFont="1" applyAlignment="1" applyProtection="1">
      <alignment horizontal="center"/>
      <protection locked="0"/>
    </xf>
    <xf numFmtId="1" fontId="8" fillId="8" borderId="0" xfId="5" applyNumberFormat="1" applyFont="1" applyFill="1" applyAlignment="1" applyProtection="1">
      <alignment horizontal="center" vertical="center" wrapText="1"/>
    </xf>
    <xf numFmtId="1" fontId="8" fillId="0" borderId="0" xfId="5" applyNumberFormat="1" applyFont="1" applyAlignment="1" applyProtection="1">
      <alignment horizontal="left" vertical="top" wrapText="1"/>
      <protection locked="0"/>
    </xf>
    <xf numFmtId="0" fontId="8" fillId="0" borderId="2" xfId="0" applyFont="1" applyBorder="1" applyAlignment="1">
      <alignment horizontal="center" vertical="center" wrapText="1"/>
    </xf>
    <xf numFmtId="0" fontId="7" fillId="6" borderId="0" xfId="0" applyFont="1" applyFill="1" applyAlignment="1" applyProtection="1">
      <alignment horizontal="center"/>
      <protection locked="0"/>
    </xf>
    <xf numFmtId="0" fontId="7" fillId="5" borderId="6" xfId="0" applyFont="1" applyFill="1" applyBorder="1" applyAlignment="1" applyProtection="1">
      <alignment horizontal="center"/>
      <protection locked="0"/>
    </xf>
    <xf numFmtId="0" fontId="7" fillId="5" borderId="0" xfId="0" applyFont="1" applyFill="1" applyAlignment="1" applyProtection="1">
      <alignment horizontal="center"/>
      <protection locked="0"/>
    </xf>
    <xf numFmtId="0" fontId="7" fillId="5" borderId="7" xfId="0" applyFont="1" applyFill="1" applyBorder="1" applyAlignment="1" applyProtection="1">
      <alignment horizontal="center"/>
      <protection locked="0"/>
    </xf>
    <xf numFmtId="0" fontId="0" fillId="10" borderId="0" xfId="0" applyFill="1" applyAlignment="1">
      <alignment horizontal="center"/>
    </xf>
    <xf numFmtId="0" fontId="0" fillId="10" borderId="19" xfId="0" applyFill="1" applyBorder="1" applyAlignment="1">
      <alignment horizontal="center"/>
    </xf>
    <xf numFmtId="0" fontId="24" fillId="0" borderId="0" xfId="0" applyFont="1"/>
    <xf numFmtId="0" fontId="24" fillId="0" borderId="0" xfId="0" applyFont="1" applyAlignment="1">
      <alignment vertical="top"/>
    </xf>
  </cellXfs>
  <cellStyles count="7">
    <cellStyle name="Comma" xfId="5" builtinId="3"/>
    <cellStyle name="Comma 2" xfId="4" xr:uid="{688BEF62-D5FC-4740-B980-7CE923E8BEA8}"/>
    <cellStyle name="Normal" xfId="0" builtinId="0"/>
    <cellStyle name="Normal 2" xfId="1" xr:uid="{0F809D31-3BE0-4E6F-BEE3-4B42296F07CD}"/>
    <cellStyle name="Normal 3" xfId="2" xr:uid="{59D6D1CA-CB45-4098-AFDD-AD75173D3FD4}"/>
    <cellStyle name="Normal 4" xfId="3" xr:uid="{50147B5D-B577-4D84-8D3E-2790725A5EE2}"/>
    <cellStyle name="Percent" xfId="6" builtinId="5"/>
  </cellStyles>
  <dxfs count="30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ont>
        <color auto="1"/>
      </font>
      <border>
        <left style="thin">
          <color auto="1"/>
        </left>
      </border>
    </dxf>
    <dxf>
      <font>
        <color theme="0"/>
      </font>
    </dxf>
    <dxf>
      <font>
        <color theme="0" tint="-0.24994659260841701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ndale Mono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</border>
      <protection locked="1" hidden="0"/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sz val="12"/>
        <color auto="1"/>
        <name val="Calibri"/>
        <family val="2"/>
      </font>
      <fill>
        <patternFill patternType="solid">
          <fgColor indexed="64"/>
          <bgColor rgb="FFFFC00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colors>
    <mruColors>
      <color rgb="FFFB8D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137161</xdr:colOff>
      <xdr:row>6</xdr:row>
      <xdr:rowOff>30562</xdr:rowOff>
    </xdr:from>
    <xdr:to>
      <xdr:col>8</xdr:col>
      <xdr:colOff>982981</xdr:colOff>
      <xdr:row>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CBA021-20C7-4925-9423-1494657092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237221" y="2720422"/>
          <a:ext cx="1516380" cy="1043858"/>
        </a:xfrm>
        <a:prstGeom prst="rect">
          <a:avLst/>
        </a:prstGeom>
      </xdr:spPr>
    </xdr:pic>
    <xdr:clientData/>
  </xdr:twoCellAnchor>
  <xdr:twoCellAnchor editAs="oneCell">
    <xdr:from>
      <xdr:col>8</xdr:col>
      <xdr:colOff>2499359</xdr:colOff>
      <xdr:row>7</xdr:row>
      <xdr:rowOff>99143</xdr:rowOff>
    </xdr:from>
    <xdr:to>
      <xdr:col>12</xdr:col>
      <xdr:colOff>256752</xdr:colOff>
      <xdr:row>12</xdr:row>
      <xdr:rowOff>200089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D14B72-5DEB-4942-B2A5-1CAD48A3C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69979" y="3322403"/>
          <a:ext cx="2436073" cy="1845926"/>
        </a:xfrm>
        <a:prstGeom prst="rect">
          <a:avLst/>
        </a:prstGeom>
      </xdr:spPr>
    </xdr:pic>
    <xdr:clientData/>
  </xdr:twoCellAnchor>
  <xdr:twoCellAnchor editAs="oneCell">
    <xdr:from>
      <xdr:col>4</xdr:col>
      <xdr:colOff>563880</xdr:colOff>
      <xdr:row>11</xdr:row>
      <xdr:rowOff>83821</xdr:rowOff>
    </xdr:from>
    <xdr:to>
      <xdr:col>6</xdr:col>
      <xdr:colOff>457200</xdr:colOff>
      <xdr:row>12</xdr:row>
      <xdr:rowOff>1451407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2F98A7-4CFB-4B70-B220-3B14B3EBE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81600" y="4625341"/>
          <a:ext cx="2385060" cy="179430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103716-E393-43AA-872A-215BD28108E4}" name="tbl_PCR" displayName="tbl_PCR" ref="A3:J99" totalsRowShown="0" headerRowDxfId="29" headerRowBorderDxfId="28" tableBorderDxfId="27" totalsRowBorderDxfId="26">
  <autoFilter ref="A3:J99" xr:uid="{4C103716-E393-43AA-872A-215BD28108E4}"/>
  <tableColumns count="10">
    <tableColumn id="1" xr3:uid="{AFEE5217-53A1-450F-B6A8-E87D945E0FAE}" name="#" dataDxfId="25"/>
    <tableColumn id="9" xr3:uid="{56C0F1A5-4310-4FE3-B21C-5D6A0CBA02B4}" name="Column" dataDxfId="24">
      <calculatedColumnFormula>RIGHT(tbl_PCR[[#This Row],[Well]],LEN(tbl_PCR[[#This Row],[Well]])-1)</calculatedColumnFormula>
    </tableColumn>
    <tableColumn id="6" xr3:uid="{0CF8190A-662E-422B-8BDD-34F3D27B34F2}" name="Well" dataDxfId="23"/>
    <tableColumn id="10" xr3:uid="{3E950F3B-0125-416D-ACC8-0BEBF0CE0399}" name="Platemap ID" dataDxfId="22">
      <calculatedColumnFormula>IF(Assay!$F$32=Reference!$E$120,IF(LEN(tbl_PCR[[#This Row],[Sample ID]])&gt;0,tbl_PCR[[#This Row],[Sample ID]],""),IF(LEN(tbl_PCR[[#This Row],[Extraction ID]])&gt;0,tbl_PCR[[#This Row],[Extraction ID]],""))</calculatedColumnFormula>
    </tableColumn>
    <tableColumn id="2" xr3:uid="{CE61E1E1-E9B3-4D58-9DFE-1AB6DDFCD05A}" name="Sample ID" dataDxfId="21"/>
    <tableColumn id="3" xr3:uid="{9795EF0E-2DE1-455A-A3FF-0804F7CBA8C3}" name="Extraction ID" dataDxfId="20"/>
    <tableColumn id="4" xr3:uid="{BC0F75E0-A79C-490C-9405-CD6FA4A793F8}" name="Sample Type" dataDxfId="19"/>
    <tableColumn id="12" xr3:uid="{96ADB29E-A594-4912-850A-45B8B3904B4D}" name="PCR [DNA] (ng / µl)" dataDxfId="18">
      <calculatedColumnFormula>IF(OR(I4="",J4=""),"",SUM(I4*J4))</calculatedColumnFormula>
    </tableColumn>
    <tableColumn id="7" xr3:uid="{734522B3-E102-4EBF-AD04-14C3F7B67107}" name="Qubit PCR [DNA] (ng/µl)" dataDxfId="17"/>
    <tableColumn id="11" xr3:uid="{D2BFD013-75EF-450B-A4E3-95DAB8A07EC6}" name="PCR Dilution Factor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7724E8-27D2-44E9-85B4-57378D47D280}" name="tbl_expt_metadata" displayName="tbl_expt_metadata" ref="A1:K2" totalsRowShown="0">
  <autoFilter ref="A1:K2" xr:uid="{1F7724E8-27D2-44E9-85B4-57378D47D280}"/>
  <tableColumns count="11">
    <tableColumn id="1" xr3:uid="{CF92ACF9-25F8-4BAA-B9F1-567A722EDD10}" name="expt_id">
      <calculatedColumnFormula>IF(LEN(exp_id)=0,"",exp_id)</calculatedColumnFormula>
    </tableColumn>
    <tableColumn id="2" xr3:uid="{6EA97D5F-2525-4210-8AAC-60A494A0DFF1}" name="expt_date">
      <calculatedColumnFormula>IF(LEN(exp_date)=0,"",exp_date)</calculatedColumnFormula>
    </tableColumn>
    <tableColumn id="3" xr3:uid="{37EAA599-0FB5-4C4E-A2E5-CF226F56282F}" name="expt_user">
      <calculatedColumnFormula>IF(LEN(user_name)=0,"",user_name)</calculatedColumnFormula>
    </tableColumn>
    <tableColumn id="5" xr3:uid="{EB901222-05A0-4B82-8F19-7C8FB81E6845}" name="expt_type">
      <calculatedColumnFormula>IF(LEN(exp_type)=0,"",exp_type)</calculatedColumnFormula>
    </tableColumn>
    <tableColumn id="6" xr3:uid="{C3E991BE-2EA8-4C17-B604-89438F1D8ACB}" name="expt_version">
      <calculatedColumnFormula>IF(LEN(exp_version)=0,"",exp_version)</calculatedColumnFormula>
    </tableColumn>
    <tableColumn id="10" xr3:uid="{5CF880EF-3D5D-4639-8388-68004687285B}" name="expt_assay">
      <calculatedColumnFormula>IF(LEN(exp_assay)=0,"",exp_assay)</calculatedColumnFormula>
    </tableColumn>
    <tableColumn id="4" xr3:uid="{4DBD4096-EC40-4740-9004-468D1BAFC9A3}" name="expt_notes">
      <calculatedColumnFormula>IF(LEN(exp_notes)=0,"",exp_notes)</calculatedColumnFormula>
    </tableColumn>
    <tableColumn id="12" xr3:uid="{2FE13B56-1ED7-4086-B940-91993E2B4501}" name="expt_summary">
      <calculatedColumnFormula>IF(LEN(exp_summary)=0,"",exp_summary)</calculatedColumnFormula>
    </tableColumn>
    <tableColumn id="7" xr3:uid="{46F54692-7EB9-4C47-A454-DE67C0C7DE8A}" name="expt_rxns">
      <calculatedColumnFormula>IF(LEN(exp_rxns)=0,"",exp_rxns)</calculatedColumnFormula>
    </tableColumn>
    <tableColumn id="14" xr3:uid="{B1248788-8BBB-4F40-90D1-7B509917F807}" name="pcr_template_vol">
      <calculatedColumnFormula>IF(LEN(template_vol)=0,"",template_vol)</calculatedColumnFormula>
    </tableColumn>
    <tableColumn id="13" xr3:uid="{4786D324-56A9-420B-A7CB-8083E29E50BD}" name="pcr_enzyme">
      <calculatedColumnFormula>IF(pcr_enzyme=0,"",pcr_enzyme)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BF945E-5383-4B75-AC55-E268322A374B}" name="tbl_rxn_metadata" displayName="tbl_rxn_metadata" ref="A1:D97" totalsRowShown="0">
  <autoFilter ref="A1:D97" xr:uid="{DBBF945E-5383-4B75-AC55-E268322A374B}"/>
  <tableColumns count="4">
    <tableColumn id="2" xr3:uid="{1282264C-DD99-4BA3-8DB8-0E9363F6BA7C}" name="sample_id" dataDxfId="15">
      <calculatedColumnFormula>IF(LEN(PCR!E4),PCR!E4,"")</calculatedColumnFormula>
    </tableColumn>
    <tableColumn id="3" xr3:uid="{3FFBD26A-1339-451E-AF0C-51A92B0387C9}" name="extraction_id" dataDxfId="14">
      <calculatedColumnFormula>IF(LEN(PCR!F4),PCR!F4,"")</calculatedColumnFormula>
    </tableColumn>
    <tableColumn id="6" xr3:uid="{AE08A273-A276-4DC2-A55C-31491BBF4293}" name="sample_type" dataDxfId="13">
      <calculatedColumnFormula>IF(LEN(PCR!G4),PCR!G4,"")</calculatedColumnFormula>
    </tableColumn>
    <tableColumn id="9" xr3:uid="{4845F373-7505-41AE-BC4F-278230D9F085}" name="pcr_product_ngul">
      <calculatedColumnFormula>PCR!H4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D5826-E783-4004-A618-24FF73D48C76}">
  <sheetPr codeName="Sheet1">
    <tabColor rgb="FF92D050"/>
    <pageSetUpPr fitToPage="1"/>
  </sheetPr>
  <dimension ref="A1:M42"/>
  <sheetViews>
    <sheetView workbookViewId="0">
      <selection activeCell="C2" sqref="C2:F2"/>
    </sheetView>
  </sheetViews>
  <sheetFormatPr defaultRowHeight="15.6"/>
  <cols>
    <col min="1" max="8" width="9" style="7" customWidth="1"/>
  </cols>
  <sheetData>
    <row r="1" spans="1:13">
      <c r="A1" s="78" t="s">
        <v>148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1:13" ht="15.75" customHeight="1">
      <c r="A2" s="72" t="s">
        <v>131</v>
      </c>
      <c r="B2" s="73"/>
      <c r="C2" s="82"/>
      <c r="D2" s="82"/>
      <c r="E2" s="82"/>
      <c r="F2" s="82"/>
      <c r="G2" s="79" t="s">
        <v>136</v>
      </c>
      <c r="H2" s="79"/>
      <c r="K2" s="87" t="s">
        <v>135</v>
      </c>
      <c r="L2" s="87"/>
    </row>
    <row r="3" spans="1:13" ht="15.75" customHeight="1">
      <c r="A3" s="72" t="s">
        <v>140</v>
      </c>
      <c r="B3" s="73"/>
      <c r="C3" s="83"/>
      <c r="D3" s="83"/>
      <c r="E3" s="83"/>
      <c r="F3" s="83"/>
      <c r="G3" t="s">
        <v>223</v>
      </c>
      <c r="K3" s="88" t="s">
        <v>1</v>
      </c>
      <c r="L3" s="88"/>
    </row>
    <row r="4" spans="1:13" ht="15.75" customHeight="1">
      <c r="A4" s="72" t="s">
        <v>222</v>
      </c>
      <c r="B4" s="72"/>
      <c r="C4" s="91" t="str" cm="1">
        <f t="array" ref="C4">IF(ISBLANK(user_name),"",_xlfn.CONCAT(LEFT(_xlfn.TEXTSPLIT(TRIM(user_name)," "),1)))</f>
        <v/>
      </c>
      <c r="D4" s="91"/>
      <c r="E4" s="91"/>
      <c r="F4" s="91"/>
      <c r="G4"/>
      <c r="K4" s="89" t="s">
        <v>2</v>
      </c>
      <c r="L4" s="89"/>
    </row>
    <row r="5" spans="1:13">
      <c r="A5" s="72" t="s">
        <v>146</v>
      </c>
      <c r="B5" s="73"/>
      <c r="C5" s="86"/>
      <c r="D5" s="86"/>
      <c r="E5" s="86"/>
      <c r="F5" s="86"/>
      <c r="G5" s="19" t="s">
        <v>142</v>
      </c>
      <c r="K5" s="90" t="s">
        <v>169</v>
      </c>
      <c r="L5" s="90"/>
    </row>
    <row r="6" spans="1:13">
      <c r="A6" s="93" t="s">
        <v>166</v>
      </c>
      <c r="B6" s="93"/>
      <c r="C6" s="96"/>
      <c r="D6" s="96"/>
      <c r="E6" s="96"/>
      <c r="F6" s="96"/>
      <c r="G6" s="14" t="s">
        <v>224</v>
      </c>
      <c r="K6" s="90"/>
      <c r="L6" s="90"/>
    </row>
    <row r="7" spans="1:13">
      <c r="A7" s="80" t="s">
        <v>141</v>
      </c>
      <c r="B7" s="81"/>
      <c r="C7" s="84" t="str">
        <f>IF(OR(ISBLANK(C3),ISBLANK(C5)),"",CONCATENATE("PC",user_initials,C5))</f>
        <v/>
      </c>
      <c r="D7" s="84"/>
      <c r="E7" s="84"/>
      <c r="F7" s="84"/>
      <c r="G7" s="14" t="s">
        <v>151</v>
      </c>
    </row>
    <row r="8" spans="1:13" ht="15.75" customHeight="1">
      <c r="A8" s="80" t="s">
        <v>132</v>
      </c>
      <c r="B8" s="81"/>
      <c r="C8" s="85" t="str">
        <f>IF(OR(ISBLANK(C2),ISBLANK(C3),LEN(C7)=0),"",CONCATENATE(C2,"_",C7))</f>
        <v/>
      </c>
      <c r="D8" s="85"/>
      <c r="E8" s="85"/>
      <c r="F8" s="85"/>
      <c r="G8" s="16"/>
    </row>
    <row r="9" spans="1:13" ht="15.75" customHeight="1">
      <c r="A9" s="94" t="s">
        <v>170</v>
      </c>
      <c r="B9" s="94"/>
      <c r="C9" s="95" t="str">
        <f>IF(OR(LEN(C8)=0,LEN(exp_summary)=0),"",CONCATENATE(C8,"_",exp_summary))</f>
        <v/>
      </c>
      <c r="D9" s="95"/>
      <c r="E9" s="95"/>
      <c r="F9" s="95"/>
      <c r="G9" s="95"/>
      <c r="H9" s="95"/>
    </row>
    <row r="10" spans="1:13" ht="15.75" customHeight="1">
      <c r="A10" s="80" t="s">
        <v>133</v>
      </c>
      <c r="B10" s="81"/>
      <c r="C10" s="98">
        <f>COUNTA(PCR!E4:E99)</f>
        <v>0</v>
      </c>
      <c r="D10" s="98"/>
      <c r="E10" s="98"/>
      <c r="F10" s="98"/>
      <c r="G10" s="14" t="s">
        <v>225</v>
      </c>
      <c r="H10" s="63"/>
    </row>
    <row r="11" spans="1:13">
      <c r="A11" s="72" t="s">
        <v>139</v>
      </c>
      <c r="B11" s="73"/>
      <c r="C11" s="97" t="s">
        <v>171</v>
      </c>
      <c r="D11" s="97"/>
      <c r="E11" s="97"/>
      <c r="F11" s="97"/>
      <c r="G11" t="s">
        <v>143</v>
      </c>
    </row>
    <row r="12" spans="1:13">
      <c r="A12" s="72" t="s">
        <v>188</v>
      </c>
      <c r="B12" s="73"/>
      <c r="C12" s="75" t="s">
        <v>186</v>
      </c>
      <c r="D12" s="75"/>
      <c r="E12" s="75"/>
      <c r="F12" s="75"/>
      <c r="G12" t="s">
        <v>143</v>
      </c>
    </row>
    <row r="13" spans="1:13">
      <c r="A13" s="72" t="s">
        <v>164</v>
      </c>
      <c r="B13" s="73"/>
      <c r="C13" s="99"/>
      <c r="D13" s="99"/>
      <c r="E13" s="99"/>
      <c r="F13" s="99"/>
      <c r="G13" s="99"/>
      <c r="H13" s="99"/>
      <c r="I13" s="99"/>
      <c r="J13" s="99"/>
      <c r="K13" s="99"/>
    </row>
    <row r="14" spans="1:13">
      <c r="A14" s="24"/>
      <c r="B14" s="11"/>
      <c r="C14" s="99"/>
      <c r="D14" s="99"/>
      <c r="E14" s="99"/>
      <c r="F14" s="99"/>
      <c r="G14" s="99"/>
      <c r="H14" s="99"/>
      <c r="I14" s="99"/>
      <c r="J14" s="99"/>
      <c r="K14" s="99"/>
    </row>
    <row r="15" spans="1:13">
      <c r="A15" s="8"/>
      <c r="C15" s="9"/>
      <c r="D15" s="8"/>
      <c r="E15" s="8"/>
      <c r="F15" s="8"/>
      <c r="G15"/>
      <c r="H15"/>
      <c r="J15" s="8"/>
    </row>
    <row r="16" spans="1:13">
      <c r="A16" s="55" t="s">
        <v>147</v>
      </c>
      <c r="B16" s="8"/>
      <c r="C16" s="11" t="s">
        <v>22</v>
      </c>
      <c r="D16" s="62">
        <v>0.12</v>
      </c>
      <c r="G16"/>
      <c r="H16"/>
    </row>
    <row r="17" spans="1:13" ht="16.2" thickBot="1">
      <c r="A17" s="77" t="s">
        <v>4</v>
      </c>
      <c r="B17" s="77"/>
      <c r="C17" s="77"/>
      <c r="D17" s="76" t="s">
        <v>5</v>
      </c>
      <c r="E17" s="76"/>
      <c r="F17" s="76" t="str">
        <f>CONCATENATE("MM x",exp_rxns, " (µl)")</f>
        <v>MM x0 (µl)</v>
      </c>
      <c r="G17" s="76"/>
      <c r="H17" s="8"/>
      <c r="J17" s="100" t="s">
        <v>6</v>
      </c>
      <c r="K17" s="100"/>
      <c r="L17" s="31" t="s">
        <v>12</v>
      </c>
      <c r="M17" s="31" t="s">
        <v>8</v>
      </c>
    </row>
    <row r="18" spans="1:13" ht="16.5" customHeight="1">
      <c r="A18" s="66" t="s">
        <v>174</v>
      </c>
      <c r="B18" s="66"/>
      <c r="C18" s="66"/>
      <c r="D18" s="69">
        <v>8</v>
      </c>
      <c r="E18" s="69"/>
      <c r="F18" s="68" t="s">
        <v>7</v>
      </c>
      <c r="G18" s="68"/>
      <c r="H18" s="32"/>
      <c r="I18" s="32"/>
      <c r="J18" s="71">
        <f>Reference!E69</f>
        <v>95</v>
      </c>
      <c r="K18" s="71"/>
      <c r="L18" s="33" t="str">
        <f>Reference!F69</f>
        <v>∞</v>
      </c>
      <c r="M18" s="33">
        <f>Reference!G69</f>
        <v>0</v>
      </c>
    </row>
    <row r="19" spans="1:13">
      <c r="A19" s="66" t="str">
        <f>Reference!E32</f>
        <v>KAPA HiFI ReadyMix (2x)</v>
      </c>
      <c r="B19" s="66"/>
      <c r="C19" s="66"/>
      <c r="D19" s="70">
        <f>Reference!F32</f>
        <v>15.5</v>
      </c>
      <c r="E19" s="70"/>
      <c r="F19" s="67">
        <f>IFERROR(SUM(D19*exp_rxns*(1+$D$16)),"")</f>
        <v>0</v>
      </c>
      <c r="G19" s="67"/>
      <c r="H19" s="32"/>
      <c r="I19" s="32"/>
      <c r="J19" s="71">
        <f>Reference!E70</f>
        <v>95</v>
      </c>
      <c r="K19" s="71"/>
      <c r="L19" s="33" t="str">
        <f>Reference!F70</f>
        <v>3 min</v>
      </c>
      <c r="M19" s="33">
        <f>Reference!G70</f>
        <v>0</v>
      </c>
    </row>
    <row r="20" spans="1:13" ht="15.75" customHeight="1">
      <c r="A20" s="66" t="str">
        <f>Reference!E33</f>
        <v>Primer pool (10 μM)</v>
      </c>
      <c r="B20" s="66"/>
      <c r="C20" s="66"/>
      <c r="D20" s="70">
        <f>Reference!F33</f>
        <v>1.5</v>
      </c>
      <c r="E20" s="70"/>
      <c r="F20" s="67">
        <f>IFERROR(SUM(D20*exp_rxns*(1+$D$16)),"")</f>
        <v>0</v>
      </c>
      <c r="G20" s="67"/>
      <c r="H20" s="32"/>
      <c r="I20" s="32"/>
      <c r="J20" s="71">
        <f>Reference!E71</f>
        <v>98</v>
      </c>
      <c r="K20" s="71"/>
      <c r="L20" s="33" t="str">
        <f>Reference!F71</f>
        <v>20 sec</v>
      </c>
      <c r="M20" s="33" t="str">
        <f>Reference!G71</f>
        <v>x35</v>
      </c>
    </row>
    <row r="21" spans="1:13">
      <c r="A21" s="66" t="str">
        <f>Reference!E34</f>
        <v>Water</v>
      </c>
      <c r="B21" s="66"/>
      <c r="C21" s="66"/>
      <c r="D21" s="70">
        <f>Reference!F34</f>
        <v>0</v>
      </c>
      <c r="E21" s="70"/>
      <c r="F21" s="67">
        <f>IFERROR(SUM(D21*exp_rxns*(1+$D$16)),"")</f>
        <v>0</v>
      </c>
      <c r="G21" s="67"/>
      <c r="H21" s="32"/>
      <c r="I21" s="32"/>
      <c r="J21" s="71">
        <f>Reference!E72</f>
        <v>60</v>
      </c>
      <c r="K21" s="71"/>
      <c r="L21" s="33" t="str">
        <f>Reference!F72</f>
        <v>3 min</v>
      </c>
      <c r="M21" s="33" t="str">
        <f>Reference!G72</f>
        <v>x35</v>
      </c>
    </row>
    <row r="22" spans="1:13" ht="15.75" customHeight="1">
      <c r="A22" s="66" t="str">
        <f>Reference!E35</f>
        <v>-</v>
      </c>
      <c r="B22" s="66"/>
      <c r="C22" s="66"/>
      <c r="D22" s="70">
        <f>Reference!F35</f>
        <v>0</v>
      </c>
      <c r="E22" s="70"/>
      <c r="F22" s="67">
        <f>IFERROR(SUM(D22*exp_rxns*(1+$D$16)),"")</f>
        <v>0</v>
      </c>
      <c r="G22" s="67"/>
      <c r="H22" s="32"/>
      <c r="I22" s="32"/>
      <c r="J22" s="71">
        <f>Reference!E73</f>
        <v>60</v>
      </c>
      <c r="K22" s="71"/>
      <c r="L22" s="33" t="str">
        <f>Reference!F73</f>
        <v>10 min</v>
      </c>
      <c r="M22" s="33">
        <f>Reference!G73</f>
        <v>0</v>
      </c>
    </row>
    <row r="23" spans="1:13">
      <c r="A23" s="66" t="str">
        <f>Reference!E36</f>
        <v>-</v>
      </c>
      <c r="B23" s="66"/>
      <c r="C23" s="66"/>
      <c r="D23" s="70">
        <f>Reference!F36</f>
        <v>0</v>
      </c>
      <c r="E23" s="70"/>
      <c r="F23" s="67">
        <f>IFERROR(SUM(D23*exp_rxns*(1+$D$16)),"")</f>
        <v>0</v>
      </c>
      <c r="G23" s="67"/>
      <c r="H23" s="8"/>
      <c r="J23" s="71">
        <f>Reference!E74</f>
        <v>8</v>
      </c>
      <c r="K23" s="71"/>
      <c r="L23" s="33" t="str">
        <f>Reference!F74</f>
        <v>∞</v>
      </c>
      <c r="M23" s="33">
        <f>Reference!G74</f>
        <v>0</v>
      </c>
    </row>
    <row r="24" spans="1:13">
      <c r="C24" s="61" t="s">
        <v>220</v>
      </c>
      <c r="D24" s="64">
        <f>IF(SUM(D18:E23)=0,"",SUM(D18:E23))</f>
        <v>25</v>
      </c>
      <c r="E24" s="64"/>
      <c r="F24" s="35" t="str">
        <f>CONCATENATE("Add ",SUM(D19:D23)," µl of MM to each well")</f>
        <v>Add 17 µl of MM to each well</v>
      </c>
      <c r="G24" s="33"/>
      <c r="H24" s="8"/>
      <c r="J24" s="71">
        <f>Reference!E75</f>
        <v>0</v>
      </c>
      <c r="K24" s="71"/>
      <c r="L24" s="33">
        <f>Reference!F75</f>
        <v>0</v>
      </c>
      <c r="M24" s="33">
        <f>Reference!G75</f>
        <v>0</v>
      </c>
    </row>
    <row r="25" spans="1:13">
      <c r="A25" s="71" t="str">
        <f>_xlfn.CONCAT("(If dispensing MM from an 8-well strip tube with a multichannel, add ",ROUND((SUM(F18:G23)/8),0)," µl of MM to each strip tube well)")</f>
        <v>(If dispensing MM from an 8-well strip tube with a multichannel, add 0 µl of MM to each strip tube well)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</row>
    <row r="26" spans="1:13">
      <c r="D26" s="34"/>
      <c r="E26" s="34"/>
      <c r="F26" s="35"/>
      <c r="G26" s="33"/>
      <c r="H26" s="8"/>
    </row>
    <row r="27" spans="1:13">
      <c r="A27" s="55" t="s">
        <v>221</v>
      </c>
      <c r="D27" s="34"/>
      <c r="E27" s="34"/>
      <c r="F27" s="35"/>
      <c r="G27" s="33"/>
      <c r="H27" s="8"/>
    </row>
    <row r="28" spans="1:13" ht="15.75" customHeight="1">
      <c r="A28" s="10" t="s">
        <v>208</v>
      </c>
      <c r="B28"/>
      <c r="C28"/>
      <c r="D28"/>
      <c r="E28"/>
      <c r="F28"/>
      <c r="G28"/>
      <c r="H28"/>
      <c r="K28" s="65" t="s">
        <v>149</v>
      </c>
      <c r="L28" s="65"/>
      <c r="M28" s="65"/>
    </row>
    <row r="29" spans="1:13" ht="35.25" customHeight="1">
      <c r="A29" s="79" t="s">
        <v>209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</row>
    <row r="30" spans="1:13" ht="15.75" customHeight="1">
      <c r="A30" s="14" t="s">
        <v>134</v>
      </c>
      <c r="B30" s="14"/>
      <c r="C30" s="14"/>
      <c r="D30" s="14"/>
      <c r="E30" s="14"/>
      <c r="F30" s="14"/>
      <c r="G30" s="14"/>
      <c r="H30" s="8"/>
      <c r="K30" s="74" t="s">
        <v>150</v>
      </c>
      <c r="L30" s="74"/>
      <c r="M30" s="74"/>
    </row>
    <row r="31" spans="1:13" ht="15.75" customHeight="1">
      <c r="A31" s="8"/>
      <c r="B31" s="8"/>
      <c r="C31" s="8"/>
      <c r="D31" s="8"/>
      <c r="E31" s="8"/>
      <c r="F31" s="8"/>
      <c r="G31" s="8"/>
      <c r="H31" s="8"/>
    </row>
    <row r="32" spans="1:13" ht="15.75" customHeight="1">
      <c r="A32" s="15" t="s">
        <v>21</v>
      </c>
      <c r="B32" t="s">
        <v>201</v>
      </c>
      <c r="C32"/>
      <c r="D32"/>
      <c r="E32"/>
      <c r="F32" s="92" t="s">
        <v>3</v>
      </c>
      <c r="G32" s="92"/>
      <c r="H32"/>
    </row>
    <row r="33" spans="1:13" ht="15.75" customHeight="1">
      <c r="A33"/>
      <c r="B33" s="21">
        <v>1</v>
      </c>
      <c r="C33" s="21">
        <v>2</v>
      </c>
      <c r="D33" s="21">
        <v>3</v>
      </c>
      <c r="E33" s="21">
        <v>4</v>
      </c>
      <c r="F33" s="21">
        <v>5</v>
      </c>
      <c r="G33" s="21">
        <v>6</v>
      </c>
      <c r="H33" s="21">
        <v>7</v>
      </c>
      <c r="I33" s="21">
        <v>8</v>
      </c>
      <c r="J33" s="21">
        <v>9</v>
      </c>
      <c r="K33" s="21">
        <v>10</v>
      </c>
      <c r="L33" s="21">
        <v>11</v>
      </c>
      <c r="M33" s="21">
        <v>12</v>
      </c>
    </row>
    <row r="34" spans="1:13" ht="15.75" customHeight="1">
      <c r="A34" s="22" t="s">
        <v>24</v>
      </c>
      <c r="B34" s="20" t="str">
        <f>PCR!$D4</f>
        <v/>
      </c>
      <c r="C34" s="20" t="str">
        <f>PCR!$D12</f>
        <v/>
      </c>
      <c r="D34" s="20" t="str">
        <f>PCR!$D20</f>
        <v/>
      </c>
      <c r="E34" s="20" t="str">
        <f>PCR!$D28</f>
        <v/>
      </c>
      <c r="F34" s="20" t="str">
        <f>PCR!$D36</f>
        <v/>
      </c>
      <c r="G34" s="20" t="str">
        <f>PCR!$D44</f>
        <v/>
      </c>
      <c r="H34" s="20" t="str">
        <f>PCR!$D52</f>
        <v/>
      </c>
      <c r="I34" s="20" t="str">
        <f>PCR!$D60</f>
        <v/>
      </c>
      <c r="J34" s="20" t="str">
        <f>PCR!$D68</f>
        <v/>
      </c>
      <c r="K34" s="20" t="str">
        <f>PCR!$D76</f>
        <v/>
      </c>
      <c r="L34" s="20" t="str">
        <f>PCR!$D84</f>
        <v/>
      </c>
      <c r="M34" s="20" t="str">
        <f>PCR!$D92</f>
        <v/>
      </c>
    </row>
    <row r="35" spans="1:13" ht="15.75" customHeight="1">
      <c r="A35" s="22" t="s">
        <v>25</v>
      </c>
      <c r="B35" s="20" t="str">
        <f>PCR!$D5</f>
        <v/>
      </c>
      <c r="C35" s="20" t="str">
        <f>PCR!$D13</f>
        <v/>
      </c>
      <c r="D35" s="20" t="str">
        <f>PCR!$D21</f>
        <v/>
      </c>
      <c r="E35" s="20" t="str">
        <f>PCR!$D29</f>
        <v/>
      </c>
      <c r="F35" s="20" t="str">
        <f>PCR!$D37</f>
        <v/>
      </c>
      <c r="G35" s="20" t="str">
        <f>PCR!$D45</f>
        <v/>
      </c>
      <c r="H35" s="20" t="str">
        <f>PCR!$D53</f>
        <v/>
      </c>
      <c r="I35" s="20" t="str">
        <f>PCR!$D61</f>
        <v/>
      </c>
      <c r="J35" s="20" t="str">
        <f>PCR!$D69</f>
        <v/>
      </c>
      <c r="K35" s="20" t="str">
        <f>PCR!$D77</f>
        <v/>
      </c>
      <c r="L35" s="20" t="str">
        <f>PCR!$D85</f>
        <v/>
      </c>
      <c r="M35" s="20" t="str">
        <f>PCR!$D93</f>
        <v/>
      </c>
    </row>
    <row r="36" spans="1:13" ht="15.75" customHeight="1">
      <c r="A36" s="22" t="s">
        <v>26</v>
      </c>
      <c r="B36" s="20" t="str">
        <f>PCR!$D6</f>
        <v/>
      </c>
      <c r="C36" s="20" t="str">
        <f>PCR!$D14</f>
        <v/>
      </c>
      <c r="D36" s="20" t="str">
        <f>PCR!$D22</f>
        <v/>
      </c>
      <c r="E36" s="20" t="str">
        <f>PCR!$D30</f>
        <v/>
      </c>
      <c r="F36" s="20" t="str">
        <f>PCR!$D38</f>
        <v/>
      </c>
      <c r="G36" s="20" t="str">
        <f>PCR!$D46</f>
        <v/>
      </c>
      <c r="H36" s="20" t="str">
        <f>PCR!$D54</f>
        <v/>
      </c>
      <c r="I36" s="20" t="str">
        <f>PCR!$D62</f>
        <v/>
      </c>
      <c r="J36" s="20" t="str">
        <f>PCR!$D70</f>
        <v/>
      </c>
      <c r="K36" s="20" t="str">
        <f>PCR!$D78</f>
        <v/>
      </c>
      <c r="L36" s="20" t="str">
        <f>PCR!$D86</f>
        <v/>
      </c>
      <c r="M36" s="20" t="str">
        <f>PCR!$D94</f>
        <v/>
      </c>
    </row>
    <row r="37" spans="1:13" ht="15.75" customHeight="1">
      <c r="A37" s="22" t="s">
        <v>27</v>
      </c>
      <c r="B37" s="20" t="str">
        <f>PCR!$D7</f>
        <v/>
      </c>
      <c r="C37" s="20" t="str">
        <f>PCR!$D15</f>
        <v/>
      </c>
      <c r="D37" s="20" t="str">
        <f>PCR!$D23</f>
        <v/>
      </c>
      <c r="E37" s="20" t="str">
        <f>PCR!$D31</f>
        <v/>
      </c>
      <c r="F37" s="20" t="str">
        <f>PCR!$D39</f>
        <v/>
      </c>
      <c r="G37" s="20" t="str">
        <f>PCR!$D47</f>
        <v/>
      </c>
      <c r="H37" s="20" t="str">
        <f>PCR!$D55</f>
        <v/>
      </c>
      <c r="I37" s="20" t="str">
        <f>PCR!$D63</f>
        <v/>
      </c>
      <c r="J37" s="20" t="str">
        <f>PCR!$D71</f>
        <v/>
      </c>
      <c r="K37" s="20" t="str">
        <f>PCR!$D79</f>
        <v/>
      </c>
      <c r="L37" s="20" t="str">
        <f>PCR!$D87</f>
        <v/>
      </c>
      <c r="M37" s="20" t="str">
        <f>PCR!$D95</f>
        <v/>
      </c>
    </row>
    <row r="38" spans="1:13" ht="15.75" customHeight="1">
      <c r="A38" s="22" t="s">
        <v>28</v>
      </c>
      <c r="B38" s="20" t="str">
        <f>PCR!$D8</f>
        <v/>
      </c>
      <c r="C38" s="20" t="str">
        <f>PCR!$D16</f>
        <v/>
      </c>
      <c r="D38" s="20" t="str">
        <f>PCR!$D24</f>
        <v/>
      </c>
      <c r="E38" s="20" t="str">
        <f>PCR!$D32</f>
        <v/>
      </c>
      <c r="F38" s="20" t="str">
        <f>PCR!$D40</f>
        <v/>
      </c>
      <c r="G38" s="20" t="str">
        <f>PCR!$D48</f>
        <v/>
      </c>
      <c r="H38" s="20" t="str">
        <f>PCR!$D56</f>
        <v/>
      </c>
      <c r="I38" s="20" t="str">
        <f>PCR!$D64</f>
        <v/>
      </c>
      <c r="J38" s="20" t="str">
        <f>PCR!$D72</f>
        <v/>
      </c>
      <c r="K38" s="20" t="str">
        <f>PCR!$D80</f>
        <v/>
      </c>
      <c r="L38" s="20" t="str">
        <f>PCR!$D88</f>
        <v/>
      </c>
      <c r="M38" s="20" t="str">
        <f>PCR!$D96</f>
        <v/>
      </c>
    </row>
    <row r="39" spans="1:13" ht="15.75" customHeight="1">
      <c r="A39" s="22" t="s">
        <v>29</v>
      </c>
      <c r="B39" s="20" t="str">
        <f>PCR!$D9</f>
        <v/>
      </c>
      <c r="C39" s="20" t="str">
        <f>PCR!$D17</f>
        <v/>
      </c>
      <c r="D39" s="20" t="str">
        <f>PCR!$D25</f>
        <v/>
      </c>
      <c r="E39" s="20" t="str">
        <f>PCR!$D33</f>
        <v/>
      </c>
      <c r="F39" s="20" t="str">
        <f>PCR!$D41</f>
        <v/>
      </c>
      <c r="G39" s="20" t="str">
        <f>PCR!$D49</f>
        <v/>
      </c>
      <c r="H39" s="20" t="str">
        <f>PCR!$D57</f>
        <v/>
      </c>
      <c r="I39" s="20" t="str">
        <f>PCR!$D65</f>
        <v/>
      </c>
      <c r="J39" s="20" t="str">
        <f>PCR!$D73</f>
        <v/>
      </c>
      <c r="K39" s="20" t="str">
        <f>PCR!$D81</f>
        <v/>
      </c>
      <c r="L39" s="20" t="str">
        <f>PCR!$D89</f>
        <v/>
      </c>
      <c r="M39" s="20" t="str">
        <f>PCR!$D97</f>
        <v/>
      </c>
    </row>
    <row r="40" spans="1:13" ht="15.75" customHeight="1">
      <c r="A40" s="22" t="s">
        <v>30</v>
      </c>
      <c r="B40" s="20" t="str">
        <f>PCR!$D10</f>
        <v/>
      </c>
      <c r="C40" s="20" t="str">
        <f>PCR!$D18</f>
        <v/>
      </c>
      <c r="D40" s="20" t="str">
        <f>PCR!$D26</f>
        <v/>
      </c>
      <c r="E40" s="20" t="str">
        <f>PCR!$D34</f>
        <v/>
      </c>
      <c r="F40" s="20" t="str">
        <f>PCR!$D42</f>
        <v/>
      </c>
      <c r="G40" s="20" t="str">
        <f>PCR!$D50</f>
        <v/>
      </c>
      <c r="H40" s="20" t="str">
        <f>PCR!$D58</f>
        <v/>
      </c>
      <c r="I40" s="20" t="str">
        <f>PCR!$D66</f>
        <v/>
      </c>
      <c r="J40" s="20" t="str">
        <f>PCR!$D74</f>
        <v/>
      </c>
      <c r="K40" s="20" t="str">
        <f>PCR!$D82</f>
        <v/>
      </c>
      <c r="L40" s="20" t="str">
        <f>PCR!$D90</f>
        <v/>
      </c>
      <c r="M40" s="20" t="str">
        <f>PCR!$D98</f>
        <v/>
      </c>
    </row>
    <row r="41" spans="1:13" ht="15.75" customHeight="1">
      <c r="A41" s="22" t="s">
        <v>31</v>
      </c>
      <c r="B41" s="20" t="str">
        <f>PCR!$D11</f>
        <v/>
      </c>
      <c r="C41" s="20" t="str">
        <f>PCR!$D19</f>
        <v/>
      </c>
      <c r="D41" s="20" t="str">
        <f>PCR!$D27</f>
        <v/>
      </c>
      <c r="E41" s="20" t="str">
        <f>PCR!$D35</f>
        <v/>
      </c>
      <c r="F41" s="20" t="str">
        <f>PCR!$D43</f>
        <v/>
      </c>
      <c r="G41" s="20" t="str">
        <f>PCR!$D51</f>
        <v/>
      </c>
      <c r="H41" s="20" t="str">
        <f>PCR!$D59</f>
        <v/>
      </c>
      <c r="I41" s="20" t="str">
        <f>PCR!$D67</f>
        <v/>
      </c>
      <c r="J41" s="20" t="str">
        <f>PCR!$D75</f>
        <v/>
      </c>
      <c r="K41" s="20" t="str">
        <f>PCR!$D83</f>
        <v/>
      </c>
      <c r="L41" s="20" t="str">
        <f>PCR!$D91</f>
        <v/>
      </c>
      <c r="M41" s="20" t="str">
        <f>PCR!$D99</f>
        <v/>
      </c>
    </row>
    <row r="42" spans="1:13" ht="15.75" customHeight="1">
      <c r="A42" s="8"/>
      <c r="B42" s="8"/>
    </row>
  </sheetData>
  <sheetProtection sheet="1" objects="1" scenarios="1"/>
  <mergeCells count="65">
    <mergeCell ref="A4:B4"/>
    <mergeCell ref="C4:F4"/>
    <mergeCell ref="F32:G32"/>
    <mergeCell ref="A29:M29"/>
    <mergeCell ref="A6:B6"/>
    <mergeCell ref="A9:B9"/>
    <mergeCell ref="C9:H9"/>
    <mergeCell ref="C6:F6"/>
    <mergeCell ref="C11:F11"/>
    <mergeCell ref="C10:F10"/>
    <mergeCell ref="D21:E21"/>
    <mergeCell ref="A20:C20"/>
    <mergeCell ref="A10:B10"/>
    <mergeCell ref="C13:K14"/>
    <mergeCell ref="F17:G17"/>
    <mergeCell ref="J17:K17"/>
    <mergeCell ref="A1:M1"/>
    <mergeCell ref="G2:H2"/>
    <mergeCell ref="A3:B3"/>
    <mergeCell ref="A8:B8"/>
    <mergeCell ref="C2:F2"/>
    <mergeCell ref="C3:F3"/>
    <mergeCell ref="C7:F7"/>
    <mergeCell ref="C8:F8"/>
    <mergeCell ref="A2:B2"/>
    <mergeCell ref="A7:B7"/>
    <mergeCell ref="A5:B5"/>
    <mergeCell ref="C5:F5"/>
    <mergeCell ref="K2:L2"/>
    <mergeCell ref="K3:L3"/>
    <mergeCell ref="K4:L4"/>
    <mergeCell ref="K5:L6"/>
    <mergeCell ref="C12:F12"/>
    <mergeCell ref="A12:B12"/>
    <mergeCell ref="D17:E17"/>
    <mergeCell ref="A17:C17"/>
    <mergeCell ref="A13:B13"/>
    <mergeCell ref="A11:B11"/>
    <mergeCell ref="K30:M30"/>
    <mergeCell ref="D20:E20"/>
    <mergeCell ref="D22:E22"/>
    <mergeCell ref="D23:E23"/>
    <mergeCell ref="F21:G21"/>
    <mergeCell ref="F20:G20"/>
    <mergeCell ref="J22:K22"/>
    <mergeCell ref="F23:G23"/>
    <mergeCell ref="F22:G22"/>
    <mergeCell ref="A22:C22"/>
    <mergeCell ref="J23:K23"/>
    <mergeCell ref="A23:C23"/>
    <mergeCell ref="J20:K20"/>
    <mergeCell ref="J21:K21"/>
    <mergeCell ref="J24:K24"/>
    <mergeCell ref="D24:E24"/>
    <mergeCell ref="K28:M28"/>
    <mergeCell ref="A18:C18"/>
    <mergeCell ref="A19:C19"/>
    <mergeCell ref="F19:G19"/>
    <mergeCell ref="F18:G18"/>
    <mergeCell ref="D18:E18"/>
    <mergeCell ref="D19:E19"/>
    <mergeCell ref="J18:K18"/>
    <mergeCell ref="J19:K19"/>
    <mergeCell ref="A21:C21"/>
    <mergeCell ref="A25:M25"/>
  </mergeCells>
  <conditionalFormatting sqref="A21:C23">
    <cfRule type="expression" dxfId="12" priority="9">
      <formula>A21="-"</formula>
    </cfRule>
  </conditionalFormatting>
  <conditionalFormatting sqref="C2:C6 C11:C13">
    <cfRule type="expression" dxfId="11" priority="22">
      <formula>COUNTIF(C2,"")</formula>
    </cfRule>
  </conditionalFormatting>
  <conditionalFormatting sqref="D18:E18">
    <cfRule type="containsBlanks" dxfId="9" priority="6">
      <formula>LEN(TRIM(D18))=0</formula>
    </cfRule>
  </conditionalFormatting>
  <conditionalFormatting sqref="D21:E23">
    <cfRule type="expression" dxfId="8" priority="7">
      <formula>A21="-"</formula>
    </cfRule>
  </conditionalFormatting>
  <conditionalFormatting sqref="F32">
    <cfRule type="expression" dxfId="7" priority="2">
      <formula>COUNTIF(F32,"")</formula>
    </cfRule>
  </conditionalFormatting>
  <conditionalFormatting sqref="F18:G23">
    <cfRule type="expression" dxfId="6" priority="8">
      <formula>$A18="-"</formula>
    </cfRule>
  </conditionalFormatting>
  <conditionalFormatting sqref="J18:M24">
    <cfRule type="expression" dxfId="5" priority="3" stopIfTrue="1">
      <formula>J18=0</formula>
    </cfRule>
  </conditionalFormatting>
  <conditionalFormatting sqref="M18:M24">
    <cfRule type="expression" dxfId="4" priority="11">
      <formula>LEN(M18)&gt;0</formula>
    </cfRule>
  </conditionalFormatting>
  <dataValidations count="3">
    <dataValidation allowBlank="1" showInputMessage="1" showErrorMessage="1" errorTitle="Experimental Aim" error="The aim must be 5-20 characters long as it is used to name folders downstream so can not be too verbose." sqref="C9:C10 C6:F6" xr:uid="{B2B8BFB3-0AE7-4ECF-A2D1-0DE481577069}"/>
    <dataValidation type="custom" allowBlank="1" showInputMessage="1" showErrorMessage="1" sqref="C5:F6" xr:uid="{9E3F1EDD-ECC0-4744-B8A4-53A5A89BEC01}">
      <formula1>LEN(C5)=3</formula1>
    </dataValidation>
    <dataValidation allowBlank="1" showInputMessage="1" showErrorMessage="1" errorTitle="Incorrect Format" error="Exp Numbers should be three digits long" sqref="C7:F7" xr:uid="{3305B6EA-24D3-4F5D-A2AC-BB3F2ACD221C}"/>
  </dataValidations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headerFooter>
    <oddFooter>Page &amp;P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789285ED-6C3F-415D-A90E-72FC44694A02}">
            <xm:f>$D$18&gt;Reference!$F$31</xm:f>
            <x14:dxf>
              <fill>
                <patternFill>
                  <bgColor rgb="FFFF0000"/>
                </patternFill>
              </fill>
            </x14:dxf>
          </x14:cfRule>
          <xm:sqref>D18:E18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DC0BE7F-A938-49D1-8508-05D8BFD25456}">
          <x14:formula1>
            <xm:f>Reference!$E$21:$E$23</xm:f>
          </x14:formula1>
          <xm:sqref>C12:F12</xm:sqref>
        </x14:dataValidation>
        <x14:dataValidation type="list" allowBlank="1" showInputMessage="1" showErrorMessage="1" xr:uid="{021BDCBC-F511-4D48-906D-30E452F888C6}">
          <x14:formula1>
            <xm:f>Reference!$E$120:$E$121</xm:f>
          </x14:formula1>
          <xm:sqref>F32</xm:sqref>
        </x14:dataValidation>
        <x14:dataValidation type="list" allowBlank="1" showInputMessage="1" showErrorMessage="1" xr:uid="{58C9E0CC-D820-49E0-B8FE-F2C4BD08D2E5}">
          <x14:formula1>
            <xm:f>Reference!$G$17:$G$21</xm:f>
          </x14:formula1>
          <xm:sqref>C11:F11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6DBD4-8DAD-9140-A720-2E9A5B0F30FB}">
  <sheetPr codeName="Sheet2">
    <tabColor rgb="FF92D050"/>
    <pageSetUpPr fitToPage="1"/>
  </sheetPr>
  <dimension ref="A1:J112"/>
  <sheetViews>
    <sheetView zoomScale="140" zoomScaleNormal="140" workbookViewId="0">
      <selection activeCell="E4" sqref="E4"/>
    </sheetView>
  </sheetViews>
  <sheetFormatPr defaultColWidth="11" defaultRowHeight="15.6"/>
  <cols>
    <col min="1" max="1" width="6.59765625" customWidth="1"/>
    <col min="2" max="2" width="6.59765625" hidden="1" customWidth="1"/>
    <col min="3" max="3" width="6.59765625" customWidth="1"/>
    <col min="4" max="4" width="11.8984375" hidden="1" customWidth="1"/>
    <col min="5" max="5" width="11.8984375" customWidth="1"/>
    <col min="6" max="7" width="12.59765625" style="1" customWidth="1"/>
  </cols>
  <sheetData>
    <row r="1" spans="1:10">
      <c r="E1" s="105" t="s">
        <v>215</v>
      </c>
      <c r="F1" s="105"/>
      <c r="G1" s="105"/>
      <c r="H1" s="105"/>
    </row>
    <row r="2" spans="1:10">
      <c r="A2" s="28"/>
      <c r="B2" s="28"/>
      <c r="C2" s="28"/>
      <c r="E2" s="102" t="s">
        <v>18</v>
      </c>
      <c r="F2" s="103"/>
      <c r="G2" s="104"/>
      <c r="H2" s="101"/>
      <c r="I2" s="101"/>
      <c r="J2" s="101"/>
    </row>
    <row r="3" spans="1:10" s="2" customFormat="1" ht="47.4" thickBot="1">
      <c r="A3" s="39" t="s">
        <v>32</v>
      </c>
      <c r="B3" s="39" t="s">
        <v>203</v>
      </c>
      <c r="C3" s="39" t="s">
        <v>129</v>
      </c>
      <c r="D3" s="39" t="s">
        <v>204</v>
      </c>
      <c r="E3" s="40" t="s">
        <v>3</v>
      </c>
      <c r="F3" s="40" t="s">
        <v>19</v>
      </c>
      <c r="G3" s="40" t="s">
        <v>191</v>
      </c>
      <c r="H3" s="41" t="s">
        <v>145</v>
      </c>
      <c r="I3" s="41" t="s">
        <v>144</v>
      </c>
      <c r="J3" s="41" t="s">
        <v>130</v>
      </c>
    </row>
    <row r="4" spans="1:10" ht="15.75" customHeight="1">
      <c r="A4" s="42">
        <v>1</v>
      </c>
      <c r="B4" s="43" t="str">
        <f>RIGHT(tbl_PCR[[#This Row],[Well]],LEN(tbl_PCR[[#This Row],[Well]])-1)</f>
        <v>1</v>
      </c>
      <c r="C4" s="43" t="s">
        <v>33</v>
      </c>
      <c r="D4" s="45" t="str">
        <f>IF(Assay!$F$32=Reference!$E$120,IF(LEN(tbl_PCR[[#This Row],[Sample ID]])&gt;0,tbl_PCR[[#This Row],[Sample ID]],""),IF(LEN(tbl_PCR[[#This Row],[Extraction ID]])&gt;0,tbl_PCR[[#This Row],[Extraction ID]],""))</f>
        <v/>
      </c>
      <c r="E4" s="23"/>
      <c r="F4" s="58"/>
      <c r="G4" s="23"/>
      <c r="H4" s="46" t="str">
        <f>IF(OR(I4="",J4=""),"",SUM(I4*J4))</f>
        <v/>
      </c>
      <c r="I4" s="44"/>
      <c r="J4" s="44"/>
    </row>
    <row r="5" spans="1:10" ht="15.75" customHeight="1">
      <c r="A5" s="47">
        <v>2</v>
      </c>
      <c r="B5" s="30" t="str">
        <f>RIGHT(tbl_PCR[[#This Row],[Well]],LEN(tbl_PCR[[#This Row],[Well]])-1)</f>
        <v>1</v>
      </c>
      <c r="C5" s="30" t="s">
        <v>45</v>
      </c>
      <c r="D5" s="38" t="str">
        <f>IF(Assay!$F$32=Reference!$E$120,IF(LEN(tbl_PCR[[#This Row],[Sample ID]])&gt;0,tbl_PCR[[#This Row],[Sample ID]],""),IF(LEN(tbl_PCR[[#This Row],[Extraction ID]])&gt;0,tbl_PCR[[#This Row],[Extraction ID]],""))</f>
        <v/>
      </c>
      <c r="E5" s="23"/>
      <c r="F5" s="58"/>
      <c r="G5" s="23"/>
      <c r="H5" s="3" t="str">
        <f t="shared" ref="H5:H68" si="0">IF(OR(I5="",J5=""),"",SUM(I5*J5))</f>
        <v/>
      </c>
      <c r="I5" s="27"/>
      <c r="J5" s="23"/>
    </row>
    <row r="6" spans="1:10" ht="15.75" customHeight="1">
      <c r="A6" s="47">
        <v>3</v>
      </c>
      <c r="B6" s="30" t="str">
        <f>RIGHT(tbl_PCR[[#This Row],[Well]],LEN(tbl_PCR[[#This Row],[Well]])-1)</f>
        <v>1</v>
      </c>
      <c r="C6" s="30" t="s">
        <v>54</v>
      </c>
      <c r="D6" s="38" t="str">
        <f>IF(Assay!$F$32=Reference!$E$120,IF(LEN(tbl_PCR[[#This Row],[Sample ID]])&gt;0,tbl_PCR[[#This Row],[Sample ID]],""),IF(LEN(tbl_PCR[[#This Row],[Extraction ID]])&gt;0,tbl_PCR[[#This Row],[Extraction ID]],""))</f>
        <v/>
      </c>
      <c r="E6" s="23"/>
      <c r="F6" s="58"/>
      <c r="G6" s="23"/>
      <c r="H6" s="3" t="str">
        <f t="shared" si="0"/>
        <v/>
      </c>
      <c r="I6" s="23"/>
      <c r="J6" s="23"/>
    </row>
    <row r="7" spans="1:10" ht="15.75" customHeight="1">
      <c r="A7" s="47">
        <v>4</v>
      </c>
      <c r="B7" s="30" t="str">
        <f>RIGHT(tbl_PCR[[#This Row],[Well]],LEN(tbl_PCR[[#This Row],[Well]])-1)</f>
        <v>1</v>
      </c>
      <c r="C7" s="30" t="s">
        <v>56</v>
      </c>
      <c r="D7" s="38" t="str">
        <f>IF(Assay!$F$32=Reference!$E$120,IF(LEN(tbl_PCR[[#This Row],[Sample ID]])&gt;0,tbl_PCR[[#This Row],[Sample ID]],""),IF(LEN(tbl_PCR[[#This Row],[Extraction ID]])&gt;0,tbl_PCR[[#This Row],[Extraction ID]],""))</f>
        <v/>
      </c>
      <c r="E7" s="23"/>
      <c r="F7" s="58"/>
      <c r="G7" s="23"/>
      <c r="H7" s="3" t="str">
        <f t="shared" si="0"/>
        <v/>
      </c>
      <c r="I7" s="27"/>
      <c r="J7" s="23"/>
    </row>
    <row r="8" spans="1:10" ht="15.75" customHeight="1">
      <c r="A8" s="47">
        <v>5</v>
      </c>
      <c r="B8" s="30" t="str">
        <f>RIGHT(tbl_PCR[[#This Row],[Well]],LEN(tbl_PCR[[#This Row],[Well]])-1)</f>
        <v>1</v>
      </c>
      <c r="C8" s="30" t="s">
        <v>58</v>
      </c>
      <c r="D8" s="38" t="str">
        <f>IF(Assay!$F$32=Reference!$E$120,IF(LEN(tbl_PCR[[#This Row],[Sample ID]])&gt;0,tbl_PCR[[#This Row],[Sample ID]],""),IF(LEN(tbl_PCR[[#This Row],[Extraction ID]])&gt;0,tbl_PCR[[#This Row],[Extraction ID]],""))</f>
        <v/>
      </c>
      <c r="E8" s="23"/>
      <c r="F8" s="58"/>
      <c r="G8" s="23"/>
      <c r="H8" s="3" t="str">
        <f t="shared" si="0"/>
        <v/>
      </c>
      <c r="I8" s="23"/>
      <c r="J8" s="23"/>
    </row>
    <row r="9" spans="1:10" ht="15.75" customHeight="1">
      <c r="A9" s="47">
        <v>6</v>
      </c>
      <c r="B9" s="30" t="str">
        <f>RIGHT(tbl_PCR[[#This Row],[Well]],LEN(tbl_PCR[[#This Row],[Well]])-1)</f>
        <v>1</v>
      </c>
      <c r="C9" s="30" t="s">
        <v>59</v>
      </c>
      <c r="D9" s="38" t="str">
        <f>IF(Assay!$F$32=Reference!$E$120,IF(LEN(tbl_PCR[[#This Row],[Sample ID]])&gt;0,tbl_PCR[[#This Row],[Sample ID]],""),IF(LEN(tbl_PCR[[#This Row],[Extraction ID]])&gt;0,tbl_PCR[[#This Row],[Extraction ID]],""))</f>
        <v/>
      </c>
      <c r="E9" s="23"/>
      <c r="F9" s="58"/>
      <c r="G9" s="23"/>
      <c r="H9" s="3" t="str">
        <f t="shared" si="0"/>
        <v/>
      </c>
      <c r="I9" s="27"/>
      <c r="J9" s="23"/>
    </row>
    <row r="10" spans="1:10" ht="15.75" customHeight="1">
      <c r="A10" s="47">
        <v>7</v>
      </c>
      <c r="B10" s="30" t="str">
        <f>RIGHT(tbl_PCR[[#This Row],[Well]],LEN(tbl_PCR[[#This Row],[Well]])-1)</f>
        <v>1</v>
      </c>
      <c r="C10" s="30" t="s">
        <v>60</v>
      </c>
      <c r="D10" s="38" t="str">
        <f>IF(Assay!$F$32=Reference!$E$120,IF(LEN(tbl_PCR[[#This Row],[Sample ID]])&gt;0,tbl_PCR[[#This Row],[Sample ID]],""),IF(LEN(tbl_PCR[[#This Row],[Extraction ID]])&gt;0,tbl_PCR[[#This Row],[Extraction ID]],""))</f>
        <v/>
      </c>
      <c r="E10" s="23"/>
      <c r="F10" s="23"/>
      <c r="G10" s="23"/>
      <c r="H10" s="3" t="str">
        <f t="shared" si="0"/>
        <v/>
      </c>
      <c r="I10" s="23"/>
      <c r="J10" s="23"/>
    </row>
    <row r="11" spans="1:10" ht="15.75" customHeight="1" thickBot="1">
      <c r="A11" s="48">
        <v>8</v>
      </c>
      <c r="B11" s="49" t="str">
        <f>RIGHT(tbl_PCR[[#This Row],[Well]],LEN(tbl_PCR[[#This Row],[Well]])-1)</f>
        <v>1</v>
      </c>
      <c r="C11" s="49" t="s">
        <v>61</v>
      </c>
      <c r="D11" s="51" t="str">
        <f>IF(Assay!$F$32=Reference!$E$120,IF(LEN(tbl_PCR[[#This Row],[Sample ID]])&gt;0,tbl_PCR[[#This Row],[Sample ID]],""),IF(LEN(tbl_PCR[[#This Row],[Extraction ID]])&gt;0,tbl_PCR[[#This Row],[Extraction ID]],""))</f>
        <v/>
      </c>
      <c r="E11" s="50"/>
      <c r="F11" s="50"/>
      <c r="G11" s="50"/>
      <c r="H11" s="53" t="str">
        <f t="shared" si="0"/>
        <v/>
      </c>
      <c r="I11" s="52"/>
      <c r="J11" s="50"/>
    </row>
    <row r="12" spans="1:10" ht="15.75" customHeight="1">
      <c r="A12" s="42">
        <v>9</v>
      </c>
      <c r="B12" s="43" t="str">
        <f>RIGHT(tbl_PCR[[#This Row],[Well]],LEN(tbl_PCR[[#This Row],[Well]])-1)</f>
        <v>2</v>
      </c>
      <c r="C12" s="43" t="s">
        <v>34</v>
      </c>
      <c r="D12" s="45" t="str">
        <f>IF(Assay!$F$32=Reference!$E$120,IF(LEN(tbl_PCR[[#This Row],[Sample ID]])&gt;0,tbl_PCR[[#This Row],[Sample ID]],""),IF(LEN(tbl_PCR[[#This Row],[Extraction ID]])&gt;0,tbl_PCR[[#This Row],[Extraction ID]],""))</f>
        <v/>
      </c>
      <c r="E12" s="44"/>
      <c r="F12" s="44"/>
      <c r="G12" s="44"/>
      <c r="H12" s="46" t="str">
        <f t="shared" si="0"/>
        <v/>
      </c>
      <c r="I12" s="44"/>
      <c r="J12" s="44"/>
    </row>
    <row r="13" spans="1:10" ht="15.75" customHeight="1">
      <c r="A13" s="47">
        <v>10</v>
      </c>
      <c r="B13" s="30" t="str">
        <f>RIGHT(tbl_PCR[[#This Row],[Well]],LEN(tbl_PCR[[#This Row],[Well]])-1)</f>
        <v>2</v>
      </c>
      <c r="C13" s="30" t="s">
        <v>46</v>
      </c>
      <c r="D13" s="38" t="str">
        <f>IF(Assay!$F$32=Reference!$E$120,IF(LEN(tbl_PCR[[#This Row],[Sample ID]])&gt;0,tbl_PCR[[#This Row],[Sample ID]],""),IF(LEN(tbl_PCR[[#This Row],[Extraction ID]])&gt;0,tbl_PCR[[#This Row],[Extraction ID]],""))</f>
        <v/>
      </c>
      <c r="E13" s="23"/>
      <c r="F13" s="23"/>
      <c r="G13" s="23"/>
      <c r="H13" s="3" t="str">
        <f t="shared" si="0"/>
        <v/>
      </c>
      <c r="I13" s="27"/>
      <c r="J13" s="27"/>
    </row>
    <row r="14" spans="1:10" ht="15.75" customHeight="1">
      <c r="A14" s="47">
        <v>11</v>
      </c>
      <c r="B14" s="30" t="str">
        <f>RIGHT(tbl_PCR[[#This Row],[Well]],LEN(tbl_PCR[[#This Row],[Well]])-1)</f>
        <v>2</v>
      </c>
      <c r="C14" s="30" t="s">
        <v>55</v>
      </c>
      <c r="D14" s="38" t="str">
        <f>IF(Assay!$F$32=Reference!$E$120,IF(LEN(tbl_PCR[[#This Row],[Sample ID]])&gt;0,tbl_PCR[[#This Row],[Sample ID]],""),IF(LEN(tbl_PCR[[#This Row],[Extraction ID]])&gt;0,tbl_PCR[[#This Row],[Extraction ID]],""))</f>
        <v/>
      </c>
      <c r="E14" s="23"/>
      <c r="F14" s="23"/>
      <c r="G14" s="23"/>
      <c r="H14" s="3" t="str">
        <f t="shared" si="0"/>
        <v/>
      </c>
      <c r="I14" s="27"/>
      <c r="J14" s="27"/>
    </row>
    <row r="15" spans="1:10" ht="15.75" customHeight="1">
      <c r="A15" s="47">
        <v>12</v>
      </c>
      <c r="B15" s="30" t="str">
        <f>RIGHT(tbl_PCR[[#This Row],[Well]],LEN(tbl_PCR[[#This Row],[Well]])-1)</f>
        <v>2</v>
      </c>
      <c r="C15" s="30" t="s">
        <v>57</v>
      </c>
      <c r="D15" s="38" t="str">
        <f>IF(Assay!$F$32=Reference!$E$120,IF(LEN(tbl_PCR[[#This Row],[Sample ID]])&gt;0,tbl_PCR[[#This Row],[Sample ID]],""),IF(LEN(tbl_PCR[[#This Row],[Extraction ID]])&gt;0,tbl_PCR[[#This Row],[Extraction ID]],""))</f>
        <v/>
      </c>
      <c r="E15" s="23"/>
      <c r="F15" s="23"/>
      <c r="G15" s="23"/>
      <c r="H15" s="3" t="str">
        <f t="shared" si="0"/>
        <v/>
      </c>
      <c r="I15" s="27"/>
      <c r="J15" s="27"/>
    </row>
    <row r="16" spans="1:10" ht="15.75" customHeight="1">
      <c r="A16" s="47">
        <v>13</v>
      </c>
      <c r="B16" s="30" t="str">
        <f>RIGHT(tbl_PCR[[#This Row],[Well]],LEN(tbl_PCR[[#This Row],[Well]])-1)</f>
        <v>2</v>
      </c>
      <c r="C16" s="30" t="s">
        <v>62</v>
      </c>
      <c r="D16" s="38" t="str">
        <f>IF(Assay!$F$32=Reference!$E$120,IF(LEN(tbl_PCR[[#This Row],[Sample ID]])&gt;0,tbl_PCR[[#This Row],[Sample ID]],""),IF(LEN(tbl_PCR[[#This Row],[Extraction ID]])&gt;0,tbl_PCR[[#This Row],[Extraction ID]],""))</f>
        <v/>
      </c>
      <c r="E16" s="23"/>
      <c r="F16" s="23"/>
      <c r="G16" s="23"/>
      <c r="H16" s="3" t="str">
        <f t="shared" si="0"/>
        <v/>
      </c>
      <c r="I16" s="27"/>
      <c r="J16" s="27"/>
    </row>
    <row r="17" spans="1:10" ht="15.75" customHeight="1">
      <c r="A17" s="47">
        <v>14</v>
      </c>
      <c r="B17" s="30" t="str">
        <f>RIGHT(tbl_PCR[[#This Row],[Well]],LEN(tbl_PCR[[#This Row],[Well]])-1)</f>
        <v>2</v>
      </c>
      <c r="C17" s="30" t="s">
        <v>63</v>
      </c>
      <c r="D17" s="38" t="str">
        <f>IF(Assay!$F$32=Reference!$E$120,IF(LEN(tbl_PCR[[#This Row],[Sample ID]])&gt;0,tbl_PCR[[#This Row],[Sample ID]],""),IF(LEN(tbl_PCR[[#This Row],[Extraction ID]])&gt;0,tbl_PCR[[#This Row],[Extraction ID]],""))</f>
        <v/>
      </c>
      <c r="E17" s="23"/>
      <c r="F17" s="23"/>
      <c r="G17" s="23"/>
      <c r="H17" s="3" t="str">
        <f t="shared" si="0"/>
        <v/>
      </c>
      <c r="I17" s="27"/>
      <c r="J17" s="27"/>
    </row>
    <row r="18" spans="1:10" ht="15.75" customHeight="1">
      <c r="A18" s="47">
        <v>15</v>
      </c>
      <c r="B18" s="30" t="str">
        <f>RIGHT(tbl_PCR[[#This Row],[Well]],LEN(tbl_PCR[[#This Row],[Well]])-1)</f>
        <v>2</v>
      </c>
      <c r="C18" s="30" t="s">
        <v>64</v>
      </c>
      <c r="D18" s="38" t="str">
        <f>IF(Assay!$F$32=Reference!$E$120,IF(LEN(tbl_PCR[[#This Row],[Sample ID]])&gt;0,tbl_PCR[[#This Row],[Sample ID]],""),IF(LEN(tbl_PCR[[#This Row],[Extraction ID]])&gt;0,tbl_PCR[[#This Row],[Extraction ID]],""))</f>
        <v/>
      </c>
      <c r="E18" s="23"/>
      <c r="F18" s="23"/>
      <c r="G18" s="23"/>
      <c r="H18" s="3" t="str">
        <f t="shared" si="0"/>
        <v/>
      </c>
      <c r="I18" s="27"/>
      <c r="J18" s="27"/>
    </row>
    <row r="19" spans="1:10" ht="15.75" customHeight="1" thickBot="1">
      <c r="A19" s="48">
        <v>16</v>
      </c>
      <c r="B19" s="49" t="str">
        <f>RIGHT(tbl_PCR[[#This Row],[Well]],LEN(tbl_PCR[[#This Row],[Well]])-1)</f>
        <v>2</v>
      </c>
      <c r="C19" s="49" t="s">
        <v>65</v>
      </c>
      <c r="D19" s="51" t="str">
        <f>IF(Assay!$F$32=Reference!$E$120,IF(LEN(tbl_PCR[[#This Row],[Sample ID]])&gt;0,tbl_PCR[[#This Row],[Sample ID]],""),IF(LEN(tbl_PCR[[#This Row],[Extraction ID]])&gt;0,tbl_PCR[[#This Row],[Extraction ID]],""))</f>
        <v/>
      </c>
      <c r="E19" s="50"/>
      <c r="F19" s="50"/>
      <c r="G19" s="50"/>
      <c r="H19" s="53" t="str">
        <f t="shared" si="0"/>
        <v/>
      </c>
      <c r="I19" s="52"/>
      <c r="J19" s="52"/>
    </row>
    <row r="20" spans="1:10" ht="15.75" customHeight="1">
      <c r="A20" s="42">
        <v>17</v>
      </c>
      <c r="B20" s="43" t="str">
        <f>RIGHT(tbl_PCR[[#This Row],[Well]],LEN(tbl_PCR[[#This Row],[Well]])-1)</f>
        <v>3</v>
      </c>
      <c r="C20" s="43" t="s">
        <v>35</v>
      </c>
      <c r="D20" s="45" t="str">
        <f>IF(Assay!$F$32=Reference!$E$120,IF(LEN(tbl_PCR[[#This Row],[Sample ID]])&gt;0,tbl_PCR[[#This Row],[Sample ID]],""),IF(LEN(tbl_PCR[[#This Row],[Extraction ID]])&gt;0,tbl_PCR[[#This Row],[Extraction ID]],""))</f>
        <v/>
      </c>
      <c r="E20" s="44"/>
      <c r="F20" s="44"/>
      <c r="G20" s="44"/>
      <c r="H20" s="46" t="str">
        <f t="shared" si="0"/>
        <v/>
      </c>
      <c r="I20" s="44"/>
      <c r="J20" s="44"/>
    </row>
    <row r="21" spans="1:10" ht="15.75" customHeight="1">
      <c r="A21" s="47">
        <v>18</v>
      </c>
      <c r="B21" s="30" t="str">
        <f>RIGHT(tbl_PCR[[#This Row],[Well]],LEN(tbl_PCR[[#This Row],[Well]])-1)</f>
        <v>3</v>
      </c>
      <c r="C21" s="30" t="s">
        <v>47</v>
      </c>
      <c r="D21" s="38" t="str">
        <f>IF(Assay!$F$32=Reference!$E$120,IF(LEN(tbl_PCR[[#This Row],[Sample ID]])&gt;0,tbl_PCR[[#This Row],[Sample ID]],""),IF(LEN(tbl_PCR[[#This Row],[Extraction ID]])&gt;0,tbl_PCR[[#This Row],[Extraction ID]],""))</f>
        <v/>
      </c>
      <c r="E21" s="23"/>
      <c r="F21" s="23"/>
      <c r="G21" s="23"/>
      <c r="H21" s="3" t="str">
        <f t="shared" si="0"/>
        <v/>
      </c>
      <c r="I21" s="27"/>
      <c r="J21" s="27"/>
    </row>
    <row r="22" spans="1:10" ht="15.75" customHeight="1">
      <c r="A22" s="47">
        <v>19</v>
      </c>
      <c r="B22" s="30" t="str">
        <f>RIGHT(tbl_PCR[[#This Row],[Well]],LEN(tbl_PCR[[#This Row],[Well]])-1)</f>
        <v>3</v>
      </c>
      <c r="C22" s="30" t="s">
        <v>66</v>
      </c>
      <c r="D22" s="38" t="str">
        <f>IF(Assay!$F$32=Reference!$E$120,IF(LEN(tbl_PCR[[#This Row],[Sample ID]])&gt;0,tbl_PCR[[#This Row],[Sample ID]],""),IF(LEN(tbl_PCR[[#This Row],[Extraction ID]])&gt;0,tbl_PCR[[#This Row],[Extraction ID]],""))</f>
        <v/>
      </c>
      <c r="E22" s="23"/>
      <c r="F22" s="23"/>
      <c r="G22" s="23"/>
      <c r="H22" s="3" t="str">
        <f t="shared" si="0"/>
        <v/>
      </c>
      <c r="I22" s="27"/>
      <c r="J22" s="27"/>
    </row>
    <row r="23" spans="1:10" ht="15.75" customHeight="1">
      <c r="A23" s="47">
        <v>20</v>
      </c>
      <c r="B23" s="29" t="str">
        <f>RIGHT(tbl_PCR[[#This Row],[Well]],LEN(tbl_PCR[[#This Row],[Well]])-1)</f>
        <v>3</v>
      </c>
      <c r="C23" s="29" t="s">
        <v>67</v>
      </c>
      <c r="D23" s="38" t="str">
        <f>IF(Assay!$F$32=Reference!$E$120,IF(LEN(tbl_PCR[[#This Row],[Sample ID]])&gt;0,tbl_PCR[[#This Row],[Sample ID]],""),IF(LEN(tbl_PCR[[#This Row],[Extraction ID]])&gt;0,tbl_PCR[[#This Row],[Extraction ID]],""))</f>
        <v/>
      </c>
      <c r="E23" s="23"/>
      <c r="F23" s="23"/>
      <c r="G23" s="23"/>
      <c r="H23" s="3" t="str">
        <f t="shared" si="0"/>
        <v/>
      </c>
      <c r="I23" s="27"/>
      <c r="J23" s="27"/>
    </row>
    <row r="24" spans="1:10" ht="15.75" customHeight="1">
      <c r="A24" s="47">
        <v>21</v>
      </c>
      <c r="B24" s="29" t="str">
        <f>RIGHT(tbl_PCR[[#This Row],[Well]],LEN(tbl_PCR[[#This Row],[Well]])-1)</f>
        <v>3</v>
      </c>
      <c r="C24" s="29" t="s">
        <v>68</v>
      </c>
      <c r="D24" s="38" t="str">
        <f>IF(Assay!$F$32=Reference!$E$120,IF(LEN(tbl_PCR[[#This Row],[Sample ID]])&gt;0,tbl_PCR[[#This Row],[Sample ID]],""),IF(LEN(tbl_PCR[[#This Row],[Extraction ID]])&gt;0,tbl_PCR[[#This Row],[Extraction ID]],""))</f>
        <v/>
      </c>
      <c r="E24" s="23"/>
      <c r="F24" s="23"/>
      <c r="G24" s="23"/>
      <c r="H24" s="3" t="str">
        <f t="shared" si="0"/>
        <v/>
      </c>
      <c r="I24" s="27"/>
      <c r="J24" s="27"/>
    </row>
    <row r="25" spans="1:10" ht="15.75" customHeight="1">
      <c r="A25" s="47">
        <v>22</v>
      </c>
      <c r="B25" s="29" t="str">
        <f>RIGHT(tbl_PCR[[#This Row],[Well]],LEN(tbl_PCR[[#This Row],[Well]])-1)</f>
        <v>3</v>
      </c>
      <c r="C25" s="29" t="s">
        <v>69</v>
      </c>
      <c r="D25" s="38" t="str">
        <f>IF(Assay!$F$32=Reference!$E$120,IF(LEN(tbl_PCR[[#This Row],[Sample ID]])&gt;0,tbl_PCR[[#This Row],[Sample ID]],""),IF(LEN(tbl_PCR[[#This Row],[Extraction ID]])&gt;0,tbl_PCR[[#This Row],[Extraction ID]],""))</f>
        <v/>
      </c>
      <c r="E25" s="23"/>
      <c r="F25" s="23"/>
      <c r="G25" s="23"/>
      <c r="H25" s="3" t="str">
        <f t="shared" si="0"/>
        <v/>
      </c>
      <c r="I25" s="27"/>
      <c r="J25" s="27"/>
    </row>
    <row r="26" spans="1:10" ht="15.75" customHeight="1">
      <c r="A26" s="47">
        <v>23</v>
      </c>
      <c r="B26" s="29" t="str">
        <f>RIGHT(tbl_PCR[[#This Row],[Well]],LEN(tbl_PCR[[#This Row],[Well]])-1)</f>
        <v>3</v>
      </c>
      <c r="C26" s="29" t="s">
        <v>70</v>
      </c>
      <c r="D26" s="38" t="str">
        <f>IF(Assay!$F$32=Reference!$E$120,IF(LEN(tbl_PCR[[#This Row],[Sample ID]])&gt;0,tbl_PCR[[#This Row],[Sample ID]],""),IF(LEN(tbl_PCR[[#This Row],[Extraction ID]])&gt;0,tbl_PCR[[#This Row],[Extraction ID]],""))</f>
        <v/>
      </c>
      <c r="E26" s="23"/>
      <c r="F26" s="23"/>
      <c r="G26" s="23"/>
      <c r="H26" s="3" t="str">
        <f t="shared" si="0"/>
        <v/>
      </c>
      <c r="I26" s="27"/>
      <c r="J26" s="27"/>
    </row>
    <row r="27" spans="1:10" ht="15.75" customHeight="1" thickBot="1">
      <c r="A27" s="48">
        <v>24</v>
      </c>
      <c r="B27" s="54" t="str">
        <f>RIGHT(tbl_PCR[[#This Row],[Well]],LEN(tbl_PCR[[#This Row],[Well]])-1)</f>
        <v>3</v>
      </c>
      <c r="C27" s="54" t="s">
        <v>71</v>
      </c>
      <c r="D27" s="51" t="str">
        <f>IF(Assay!$F$32=Reference!$E$120,IF(LEN(tbl_PCR[[#This Row],[Sample ID]])&gt;0,tbl_PCR[[#This Row],[Sample ID]],""),IF(LEN(tbl_PCR[[#This Row],[Extraction ID]])&gt;0,tbl_PCR[[#This Row],[Extraction ID]],""))</f>
        <v/>
      </c>
      <c r="E27" s="50"/>
      <c r="F27" s="50"/>
      <c r="G27" s="50"/>
      <c r="H27" s="53" t="str">
        <f t="shared" si="0"/>
        <v/>
      </c>
      <c r="I27" s="52"/>
      <c r="J27" s="52"/>
    </row>
    <row r="28" spans="1:10" ht="15.75" customHeight="1">
      <c r="A28" s="42">
        <v>25</v>
      </c>
      <c r="B28" s="43" t="str">
        <f>RIGHT(tbl_PCR[[#This Row],[Well]],LEN(tbl_PCR[[#This Row],[Well]])-1)</f>
        <v>4</v>
      </c>
      <c r="C28" s="43" t="s">
        <v>36</v>
      </c>
      <c r="D28" s="45" t="str">
        <f>IF(Assay!$F$32=Reference!$E$120,IF(LEN(tbl_PCR[[#This Row],[Sample ID]])&gt;0,tbl_PCR[[#This Row],[Sample ID]],""),IF(LEN(tbl_PCR[[#This Row],[Extraction ID]])&gt;0,tbl_PCR[[#This Row],[Extraction ID]],""))</f>
        <v/>
      </c>
      <c r="E28" s="44"/>
      <c r="F28" s="44"/>
      <c r="G28" s="44"/>
      <c r="H28" s="46" t="str">
        <f t="shared" si="0"/>
        <v/>
      </c>
      <c r="I28" s="44"/>
      <c r="J28" s="44"/>
    </row>
    <row r="29" spans="1:10" ht="15.75" customHeight="1">
      <c r="A29" s="47">
        <v>26</v>
      </c>
      <c r="B29" s="29" t="str">
        <f>RIGHT(tbl_PCR[[#This Row],[Well]],LEN(tbl_PCR[[#This Row],[Well]])-1)</f>
        <v>4</v>
      </c>
      <c r="C29" s="29" t="s">
        <v>48</v>
      </c>
      <c r="D29" s="38" t="str">
        <f>IF(Assay!$F$32=Reference!$E$120,IF(LEN(tbl_PCR[[#This Row],[Sample ID]])&gt;0,tbl_PCR[[#This Row],[Sample ID]],""),IF(LEN(tbl_PCR[[#This Row],[Extraction ID]])&gt;0,tbl_PCR[[#This Row],[Extraction ID]],""))</f>
        <v/>
      </c>
      <c r="E29" s="23"/>
      <c r="F29" s="23"/>
      <c r="G29" s="23"/>
      <c r="H29" s="3" t="str">
        <f t="shared" si="0"/>
        <v/>
      </c>
      <c r="I29" s="27"/>
      <c r="J29" s="27"/>
    </row>
    <row r="30" spans="1:10" ht="15.75" customHeight="1">
      <c r="A30" s="47">
        <v>27</v>
      </c>
      <c r="B30" s="29" t="str">
        <f>RIGHT(tbl_PCR[[#This Row],[Well]],LEN(tbl_PCR[[#This Row],[Well]])-1)</f>
        <v>4</v>
      </c>
      <c r="C30" s="29" t="s">
        <v>72</v>
      </c>
      <c r="D30" s="38" t="str">
        <f>IF(Assay!$F$32=Reference!$E$120,IF(LEN(tbl_PCR[[#This Row],[Sample ID]])&gt;0,tbl_PCR[[#This Row],[Sample ID]],""),IF(LEN(tbl_PCR[[#This Row],[Extraction ID]])&gt;0,tbl_PCR[[#This Row],[Extraction ID]],""))</f>
        <v/>
      </c>
      <c r="E30" s="23"/>
      <c r="F30" s="23"/>
      <c r="G30" s="23"/>
      <c r="H30" s="3" t="str">
        <f t="shared" si="0"/>
        <v/>
      </c>
      <c r="I30" s="27"/>
      <c r="J30" s="27"/>
    </row>
    <row r="31" spans="1:10" ht="15.75" customHeight="1">
      <c r="A31" s="47">
        <v>28</v>
      </c>
      <c r="B31" s="29" t="str">
        <f>RIGHT(tbl_PCR[[#This Row],[Well]],LEN(tbl_PCR[[#This Row],[Well]])-1)</f>
        <v>4</v>
      </c>
      <c r="C31" s="29" t="s">
        <v>73</v>
      </c>
      <c r="D31" s="38" t="str">
        <f>IF(Assay!$F$32=Reference!$E$120,IF(LEN(tbl_PCR[[#This Row],[Sample ID]])&gt;0,tbl_PCR[[#This Row],[Sample ID]],""),IF(LEN(tbl_PCR[[#This Row],[Extraction ID]])&gt;0,tbl_PCR[[#This Row],[Extraction ID]],""))</f>
        <v/>
      </c>
      <c r="E31" s="23"/>
      <c r="F31" s="23"/>
      <c r="G31" s="23"/>
      <c r="H31" s="3" t="str">
        <f t="shared" si="0"/>
        <v/>
      </c>
      <c r="I31" s="27"/>
      <c r="J31" s="27"/>
    </row>
    <row r="32" spans="1:10" ht="15.75" customHeight="1">
      <c r="A32" s="47">
        <v>29</v>
      </c>
      <c r="B32" s="29" t="str">
        <f>RIGHT(tbl_PCR[[#This Row],[Well]],LEN(tbl_PCR[[#This Row],[Well]])-1)</f>
        <v>4</v>
      </c>
      <c r="C32" s="29" t="s">
        <v>74</v>
      </c>
      <c r="D32" s="38" t="str">
        <f>IF(Assay!$F$32=Reference!$E$120,IF(LEN(tbl_PCR[[#This Row],[Sample ID]])&gt;0,tbl_PCR[[#This Row],[Sample ID]],""),IF(LEN(tbl_PCR[[#This Row],[Extraction ID]])&gt;0,tbl_PCR[[#This Row],[Extraction ID]],""))</f>
        <v/>
      </c>
      <c r="E32" s="23"/>
      <c r="F32" s="23"/>
      <c r="G32" s="23"/>
      <c r="H32" s="3" t="str">
        <f t="shared" si="0"/>
        <v/>
      </c>
      <c r="I32" s="27"/>
      <c r="J32" s="27"/>
    </row>
    <row r="33" spans="1:10" ht="15.75" customHeight="1">
      <c r="A33" s="47">
        <v>30</v>
      </c>
      <c r="B33" s="29" t="str">
        <f>RIGHT(tbl_PCR[[#This Row],[Well]],LEN(tbl_PCR[[#This Row],[Well]])-1)</f>
        <v>4</v>
      </c>
      <c r="C33" s="29" t="s">
        <v>75</v>
      </c>
      <c r="D33" s="38" t="str">
        <f>IF(Assay!$F$32=Reference!$E$120,IF(LEN(tbl_PCR[[#This Row],[Sample ID]])&gt;0,tbl_PCR[[#This Row],[Sample ID]],""),IF(LEN(tbl_PCR[[#This Row],[Extraction ID]])&gt;0,tbl_PCR[[#This Row],[Extraction ID]],""))</f>
        <v/>
      </c>
      <c r="E33" s="23"/>
      <c r="F33" s="23"/>
      <c r="G33" s="23"/>
      <c r="H33" s="3" t="str">
        <f t="shared" si="0"/>
        <v/>
      </c>
      <c r="I33" s="27"/>
      <c r="J33" s="27"/>
    </row>
    <row r="34" spans="1:10" ht="15.75" customHeight="1">
      <c r="A34" s="47">
        <v>31</v>
      </c>
      <c r="B34" s="29" t="str">
        <f>RIGHT(tbl_PCR[[#This Row],[Well]],LEN(tbl_PCR[[#This Row],[Well]])-1)</f>
        <v>4</v>
      </c>
      <c r="C34" s="29" t="s">
        <v>76</v>
      </c>
      <c r="D34" s="38" t="str">
        <f>IF(Assay!$F$32=Reference!$E$120,IF(LEN(tbl_PCR[[#This Row],[Sample ID]])&gt;0,tbl_PCR[[#This Row],[Sample ID]],""),IF(LEN(tbl_PCR[[#This Row],[Extraction ID]])&gt;0,tbl_PCR[[#This Row],[Extraction ID]],""))</f>
        <v/>
      </c>
      <c r="E34" s="23"/>
      <c r="F34" s="23"/>
      <c r="G34" s="23"/>
      <c r="H34" s="3" t="str">
        <f t="shared" si="0"/>
        <v/>
      </c>
      <c r="I34" s="27"/>
      <c r="J34" s="27"/>
    </row>
    <row r="35" spans="1:10" ht="15.75" customHeight="1" thickBot="1">
      <c r="A35" s="48">
        <v>32</v>
      </c>
      <c r="B35" s="54" t="str">
        <f>RIGHT(tbl_PCR[[#This Row],[Well]],LEN(tbl_PCR[[#This Row],[Well]])-1)</f>
        <v>4</v>
      </c>
      <c r="C35" s="54" t="s">
        <v>77</v>
      </c>
      <c r="D35" s="51" t="str">
        <f>IF(Assay!$F$32=Reference!$E$120,IF(LEN(tbl_PCR[[#This Row],[Sample ID]])&gt;0,tbl_PCR[[#This Row],[Sample ID]],""),IF(LEN(tbl_PCR[[#This Row],[Extraction ID]])&gt;0,tbl_PCR[[#This Row],[Extraction ID]],""))</f>
        <v/>
      </c>
      <c r="E35" s="50"/>
      <c r="F35" s="50"/>
      <c r="G35" s="50"/>
      <c r="H35" s="53" t="str">
        <f t="shared" si="0"/>
        <v/>
      </c>
      <c r="I35" s="52"/>
      <c r="J35" s="52"/>
    </row>
    <row r="36" spans="1:10" ht="15.75" customHeight="1">
      <c r="A36" s="42">
        <v>33</v>
      </c>
      <c r="B36" s="43" t="str">
        <f>RIGHT(tbl_PCR[[#This Row],[Well]],LEN(tbl_PCR[[#This Row],[Well]])-1)</f>
        <v>5</v>
      </c>
      <c r="C36" s="43" t="s">
        <v>37</v>
      </c>
      <c r="D36" s="45" t="str">
        <f>IF(Assay!$F$32=Reference!$E$120,IF(LEN(tbl_PCR[[#This Row],[Sample ID]])&gt;0,tbl_PCR[[#This Row],[Sample ID]],""),IF(LEN(tbl_PCR[[#This Row],[Extraction ID]])&gt;0,tbl_PCR[[#This Row],[Extraction ID]],""))</f>
        <v/>
      </c>
      <c r="E36" s="44"/>
      <c r="F36" s="44"/>
      <c r="G36" s="44"/>
      <c r="H36" s="46" t="str">
        <f t="shared" si="0"/>
        <v/>
      </c>
      <c r="I36" s="44"/>
      <c r="J36" s="44"/>
    </row>
    <row r="37" spans="1:10" ht="15.75" customHeight="1">
      <c r="A37" s="47">
        <v>34</v>
      </c>
      <c r="B37" s="29" t="str">
        <f>RIGHT(tbl_PCR[[#This Row],[Well]],LEN(tbl_PCR[[#This Row],[Well]])-1)</f>
        <v>5</v>
      </c>
      <c r="C37" s="29" t="s">
        <v>49</v>
      </c>
      <c r="D37" s="38" t="str">
        <f>IF(Assay!$F$32=Reference!$E$120,IF(LEN(tbl_PCR[[#This Row],[Sample ID]])&gt;0,tbl_PCR[[#This Row],[Sample ID]],""),IF(LEN(tbl_PCR[[#This Row],[Extraction ID]])&gt;0,tbl_PCR[[#This Row],[Extraction ID]],""))</f>
        <v/>
      </c>
      <c r="E37" s="23"/>
      <c r="F37" s="23"/>
      <c r="G37" s="23"/>
      <c r="H37" s="3" t="str">
        <f t="shared" si="0"/>
        <v/>
      </c>
      <c r="I37" s="27"/>
      <c r="J37" s="27"/>
    </row>
    <row r="38" spans="1:10" ht="15.75" customHeight="1">
      <c r="A38" s="47">
        <v>35</v>
      </c>
      <c r="B38" s="29" t="str">
        <f>RIGHT(tbl_PCR[[#This Row],[Well]],LEN(tbl_PCR[[#This Row],[Well]])-1)</f>
        <v>5</v>
      </c>
      <c r="C38" s="29" t="s">
        <v>78</v>
      </c>
      <c r="D38" s="38" t="str">
        <f>IF(Assay!$F$32=Reference!$E$120,IF(LEN(tbl_PCR[[#This Row],[Sample ID]])&gt;0,tbl_PCR[[#This Row],[Sample ID]],""),IF(LEN(tbl_PCR[[#This Row],[Extraction ID]])&gt;0,tbl_PCR[[#This Row],[Extraction ID]],""))</f>
        <v/>
      </c>
      <c r="E38" s="23"/>
      <c r="F38" s="23"/>
      <c r="G38" s="23"/>
      <c r="H38" s="3" t="str">
        <f t="shared" si="0"/>
        <v/>
      </c>
      <c r="I38" s="27"/>
      <c r="J38" s="27"/>
    </row>
    <row r="39" spans="1:10" ht="15.75" customHeight="1">
      <c r="A39" s="47">
        <v>36</v>
      </c>
      <c r="B39" s="29" t="str">
        <f>RIGHT(tbl_PCR[[#This Row],[Well]],LEN(tbl_PCR[[#This Row],[Well]])-1)</f>
        <v>5</v>
      </c>
      <c r="C39" s="29" t="s">
        <v>79</v>
      </c>
      <c r="D39" s="38" t="str">
        <f>IF(Assay!$F$32=Reference!$E$120,IF(LEN(tbl_PCR[[#This Row],[Sample ID]])&gt;0,tbl_PCR[[#This Row],[Sample ID]],""),IF(LEN(tbl_PCR[[#This Row],[Extraction ID]])&gt;0,tbl_PCR[[#This Row],[Extraction ID]],""))</f>
        <v/>
      </c>
      <c r="E39" s="23"/>
      <c r="F39" s="23"/>
      <c r="G39" s="23"/>
      <c r="H39" s="3" t="str">
        <f t="shared" si="0"/>
        <v/>
      </c>
      <c r="I39" s="27"/>
      <c r="J39" s="27"/>
    </row>
    <row r="40" spans="1:10" ht="15.75" customHeight="1">
      <c r="A40" s="47">
        <v>37</v>
      </c>
      <c r="B40" s="29" t="str">
        <f>RIGHT(tbl_PCR[[#This Row],[Well]],LEN(tbl_PCR[[#This Row],[Well]])-1)</f>
        <v>5</v>
      </c>
      <c r="C40" s="29" t="s">
        <v>80</v>
      </c>
      <c r="D40" s="38" t="str">
        <f>IF(Assay!$F$32=Reference!$E$120,IF(LEN(tbl_PCR[[#This Row],[Sample ID]])&gt;0,tbl_PCR[[#This Row],[Sample ID]],""),IF(LEN(tbl_PCR[[#This Row],[Extraction ID]])&gt;0,tbl_PCR[[#This Row],[Extraction ID]],""))</f>
        <v/>
      </c>
      <c r="E40" s="23"/>
      <c r="F40" s="23"/>
      <c r="G40" s="23"/>
      <c r="H40" s="3" t="str">
        <f t="shared" si="0"/>
        <v/>
      </c>
      <c r="I40" s="27"/>
      <c r="J40" s="27"/>
    </row>
    <row r="41" spans="1:10" ht="15.75" customHeight="1">
      <c r="A41" s="47">
        <v>38</v>
      </c>
      <c r="B41" s="29" t="str">
        <f>RIGHT(tbl_PCR[[#This Row],[Well]],LEN(tbl_PCR[[#This Row],[Well]])-1)</f>
        <v>5</v>
      </c>
      <c r="C41" s="29" t="s">
        <v>81</v>
      </c>
      <c r="D41" s="38" t="str">
        <f>IF(Assay!$F$32=Reference!$E$120,IF(LEN(tbl_PCR[[#This Row],[Sample ID]])&gt;0,tbl_PCR[[#This Row],[Sample ID]],""),IF(LEN(tbl_PCR[[#This Row],[Extraction ID]])&gt;0,tbl_PCR[[#This Row],[Extraction ID]],""))</f>
        <v/>
      </c>
      <c r="E41" s="23"/>
      <c r="F41" s="23"/>
      <c r="G41" s="23"/>
      <c r="H41" s="3" t="str">
        <f t="shared" si="0"/>
        <v/>
      </c>
      <c r="I41" s="27"/>
      <c r="J41" s="27"/>
    </row>
    <row r="42" spans="1:10" ht="15.75" customHeight="1">
      <c r="A42" s="47">
        <v>39</v>
      </c>
      <c r="B42" s="29" t="str">
        <f>RIGHT(tbl_PCR[[#This Row],[Well]],LEN(tbl_PCR[[#This Row],[Well]])-1)</f>
        <v>5</v>
      </c>
      <c r="C42" s="29" t="s">
        <v>82</v>
      </c>
      <c r="D42" s="38" t="str">
        <f>IF(Assay!$F$32=Reference!$E$120,IF(LEN(tbl_PCR[[#This Row],[Sample ID]])&gt;0,tbl_PCR[[#This Row],[Sample ID]],""),IF(LEN(tbl_PCR[[#This Row],[Extraction ID]])&gt;0,tbl_PCR[[#This Row],[Extraction ID]],""))</f>
        <v/>
      </c>
      <c r="E42" s="23"/>
      <c r="F42" s="23"/>
      <c r="G42" s="23"/>
      <c r="H42" s="3" t="str">
        <f t="shared" si="0"/>
        <v/>
      </c>
      <c r="I42" s="27"/>
      <c r="J42" s="27"/>
    </row>
    <row r="43" spans="1:10" ht="15.75" customHeight="1" thickBot="1">
      <c r="A43" s="48">
        <v>40</v>
      </c>
      <c r="B43" s="54" t="str">
        <f>RIGHT(tbl_PCR[[#This Row],[Well]],LEN(tbl_PCR[[#This Row],[Well]])-1)</f>
        <v>5</v>
      </c>
      <c r="C43" s="54" t="s">
        <v>83</v>
      </c>
      <c r="D43" s="51" t="str">
        <f>IF(Assay!$F$32=Reference!$E$120,IF(LEN(tbl_PCR[[#This Row],[Sample ID]])&gt;0,tbl_PCR[[#This Row],[Sample ID]],""),IF(LEN(tbl_PCR[[#This Row],[Extraction ID]])&gt;0,tbl_PCR[[#This Row],[Extraction ID]],""))</f>
        <v/>
      </c>
      <c r="E43" s="50"/>
      <c r="F43" s="50"/>
      <c r="G43" s="50"/>
      <c r="H43" s="53" t="str">
        <f t="shared" si="0"/>
        <v/>
      </c>
      <c r="I43" s="52"/>
      <c r="J43" s="52"/>
    </row>
    <row r="44" spans="1:10" ht="15.75" customHeight="1">
      <c r="A44" s="42">
        <v>41</v>
      </c>
      <c r="B44" s="43" t="str">
        <f>RIGHT(tbl_PCR[[#This Row],[Well]],LEN(tbl_PCR[[#This Row],[Well]])-1)</f>
        <v>6</v>
      </c>
      <c r="C44" s="43" t="s">
        <v>38</v>
      </c>
      <c r="D44" s="45" t="str">
        <f>IF(Assay!$F$32=Reference!$E$120,IF(LEN(tbl_PCR[[#This Row],[Sample ID]])&gt;0,tbl_PCR[[#This Row],[Sample ID]],""),IF(LEN(tbl_PCR[[#This Row],[Extraction ID]])&gt;0,tbl_PCR[[#This Row],[Extraction ID]],""))</f>
        <v/>
      </c>
      <c r="E44" s="44"/>
      <c r="F44" s="44"/>
      <c r="G44" s="44"/>
      <c r="H44" s="46" t="str">
        <f t="shared" si="0"/>
        <v/>
      </c>
      <c r="I44" s="44"/>
      <c r="J44" s="44"/>
    </row>
    <row r="45" spans="1:10" ht="15.75" customHeight="1">
      <c r="A45" s="47">
        <v>42</v>
      </c>
      <c r="B45" s="29" t="str">
        <f>RIGHT(tbl_PCR[[#This Row],[Well]],LEN(tbl_PCR[[#This Row],[Well]])-1)</f>
        <v>6</v>
      </c>
      <c r="C45" s="29" t="s">
        <v>50</v>
      </c>
      <c r="D45" s="38" t="str">
        <f>IF(Assay!$F$32=Reference!$E$120,IF(LEN(tbl_PCR[[#This Row],[Sample ID]])&gt;0,tbl_PCR[[#This Row],[Sample ID]],""),IF(LEN(tbl_PCR[[#This Row],[Extraction ID]])&gt;0,tbl_PCR[[#This Row],[Extraction ID]],""))</f>
        <v/>
      </c>
      <c r="E45" s="23"/>
      <c r="F45" s="23"/>
      <c r="G45" s="23"/>
      <c r="H45" s="3" t="str">
        <f t="shared" si="0"/>
        <v/>
      </c>
      <c r="I45" s="27"/>
      <c r="J45" s="27"/>
    </row>
    <row r="46" spans="1:10" ht="15.75" customHeight="1">
      <c r="A46" s="47">
        <v>43</v>
      </c>
      <c r="B46" s="29" t="str">
        <f>RIGHT(tbl_PCR[[#This Row],[Well]],LEN(tbl_PCR[[#This Row],[Well]])-1)</f>
        <v>6</v>
      </c>
      <c r="C46" s="29" t="s">
        <v>84</v>
      </c>
      <c r="D46" s="38" t="str">
        <f>IF(Assay!$F$32=Reference!$E$120,IF(LEN(tbl_PCR[[#This Row],[Sample ID]])&gt;0,tbl_PCR[[#This Row],[Sample ID]],""),IF(LEN(tbl_PCR[[#This Row],[Extraction ID]])&gt;0,tbl_PCR[[#This Row],[Extraction ID]],""))</f>
        <v/>
      </c>
      <c r="E46" s="23"/>
      <c r="F46" s="23"/>
      <c r="G46" s="23"/>
      <c r="H46" s="3" t="str">
        <f t="shared" si="0"/>
        <v/>
      </c>
      <c r="I46" s="27"/>
      <c r="J46" s="27"/>
    </row>
    <row r="47" spans="1:10" ht="15.75" customHeight="1">
      <c r="A47" s="47">
        <v>44</v>
      </c>
      <c r="B47" s="29" t="str">
        <f>RIGHT(tbl_PCR[[#This Row],[Well]],LEN(tbl_PCR[[#This Row],[Well]])-1)</f>
        <v>6</v>
      </c>
      <c r="C47" s="29" t="s">
        <v>85</v>
      </c>
      <c r="D47" s="38" t="str">
        <f>IF(Assay!$F$32=Reference!$E$120,IF(LEN(tbl_PCR[[#This Row],[Sample ID]])&gt;0,tbl_PCR[[#This Row],[Sample ID]],""),IF(LEN(tbl_PCR[[#This Row],[Extraction ID]])&gt;0,tbl_PCR[[#This Row],[Extraction ID]],""))</f>
        <v/>
      </c>
      <c r="E47" s="23"/>
      <c r="F47" s="23"/>
      <c r="G47" s="23"/>
      <c r="H47" s="3" t="str">
        <f t="shared" si="0"/>
        <v/>
      </c>
      <c r="I47" s="27"/>
      <c r="J47" s="27"/>
    </row>
    <row r="48" spans="1:10" ht="15.75" customHeight="1">
      <c r="A48" s="47">
        <v>45</v>
      </c>
      <c r="B48" s="29" t="str">
        <f>RIGHT(tbl_PCR[[#This Row],[Well]],LEN(tbl_PCR[[#This Row],[Well]])-1)</f>
        <v>6</v>
      </c>
      <c r="C48" s="29" t="s">
        <v>86</v>
      </c>
      <c r="D48" s="38" t="str">
        <f>IF(Assay!$F$32=Reference!$E$120,IF(LEN(tbl_PCR[[#This Row],[Sample ID]])&gt;0,tbl_PCR[[#This Row],[Sample ID]],""),IF(LEN(tbl_PCR[[#This Row],[Extraction ID]])&gt;0,tbl_PCR[[#This Row],[Extraction ID]],""))</f>
        <v/>
      </c>
      <c r="E48" s="23"/>
      <c r="F48" s="23"/>
      <c r="G48" s="23"/>
      <c r="H48" s="3" t="str">
        <f t="shared" si="0"/>
        <v/>
      </c>
      <c r="I48" s="27"/>
      <c r="J48" s="27"/>
    </row>
    <row r="49" spans="1:10" ht="15.75" customHeight="1">
      <c r="A49" s="47">
        <v>46</v>
      </c>
      <c r="B49" s="29" t="str">
        <f>RIGHT(tbl_PCR[[#This Row],[Well]],LEN(tbl_PCR[[#This Row],[Well]])-1)</f>
        <v>6</v>
      </c>
      <c r="C49" s="29" t="s">
        <v>87</v>
      </c>
      <c r="D49" s="38" t="str">
        <f>IF(Assay!$F$32=Reference!$E$120,IF(LEN(tbl_PCR[[#This Row],[Sample ID]])&gt;0,tbl_PCR[[#This Row],[Sample ID]],""),IF(LEN(tbl_PCR[[#This Row],[Extraction ID]])&gt;0,tbl_PCR[[#This Row],[Extraction ID]],""))</f>
        <v/>
      </c>
      <c r="E49" s="23"/>
      <c r="F49" s="23"/>
      <c r="G49" s="23"/>
      <c r="H49" s="3" t="str">
        <f t="shared" si="0"/>
        <v/>
      </c>
      <c r="I49" s="27"/>
      <c r="J49" s="27"/>
    </row>
    <row r="50" spans="1:10" ht="15.75" customHeight="1">
      <c r="A50" s="47">
        <v>47</v>
      </c>
      <c r="B50" s="29" t="str">
        <f>RIGHT(tbl_PCR[[#This Row],[Well]],LEN(tbl_PCR[[#This Row],[Well]])-1)</f>
        <v>6</v>
      </c>
      <c r="C50" s="29" t="s">
        <v>88</v>
      </c>
      <c r="D50" s="38" t="str">
        <f>IF(Assay!$F$32=Reference!$E$120,IF(LEN(tbl_PCR[[#This Row],[Sample ID]])&gt;0,tbl_PCR[[#This Row],[Sample ID]],""),IF(LEN(tbl_PCR[[#This Row],[Extraction ID]])&gt;0,tbl_PCR[[#This Row],[Extraction ID]],""))</f>
        <v/>
      </c>
      <c r="E50" s="23"/>
      <c r="F50" s="23"/>
      <c r="G50" s="23"/>
      <c r="H50" s="3" t="str">
        <f t="shared" si="0"/>
        <v/>
      </c>
      <c r="I50" s="27"/>
      <c r="J50" s="27"/>
    </row>
    <row r="51" spans="1:10" ht="15.75" customHeight="1" thickBot="1">
      <c r="A51" s="48">
        <v>48</v>
      </c>
      <c r="B51" s="54" t="str">
        <f>RIGHT(tbl_PCR[[#This Row],[Well]],LEN(tbl_PCR[[#This Row],[Well]])-1)</f>
        <v>6</v>
      </c>
      <c r="C51" s="54" t="s">
        <v>89</v>
      </c>
      <c r="D51" s="51" t="str">
        <f>IF(Assay!$F$32=Reference!$E$120,IF(LEN(tbl_PCR[[#This Row],[Sample ID]])&gt;0,tbl_PCR[[#This Row],[Sample ID]],""),IF(LEN(tbl_PCR[[#This Row],[Extraction ID]])&gt;0,tbl_PCR[[#This Row],[Extraction ID]],""))</f>
        <v/>
      </c>
      <c r="E51" s="50"/>
      <c r="F51" s="50"/>
      <c r="G51" s="50"/>
      <c r="H51" s="53" t="str">
        <f t="shared" si="0"/>
        <v/>
      </c>
      <c r="I51" s="52"/>
      <c r="J51" s="52"/>
    </row>
    <row r="52" spans="1:10" ht="15.75" customHeight="1">
      <c r="A52" s="42">
        <v>49</v>
      </c>
      <c r="B52" s="43" t="str">
        <f>RIGHT(tbl_PCR[[#This Row],[Well]],LEN(tbl_PCR[[#This Row],[Well]])-1)</f>
        <v>7</v>
      </c>
      <c r="C52" s="43" t="s">
        <v>39</v>
      </c>
      <c r="D52" s="45" t="str">
        <f>IF(Assay!$F$32=Reference!$E$120,IF(LEN(tbl_PCR[[#This Row],[Sample ID]])&gt;0,tbl_PCR[[#This Row],[Sample ID]],""),IF(LEN(tbl_PCR[[#This Row],[Extraction ID]])&gt;0,tbl_PCR[[#This Row],[Extraction ID]],""))</f>
        <v/>
      </c>
      <c r="E52" s="44"/>
      <c r="F52" s="44"/>
      <c r="G52" s="44"/>
      <c r="H52" s="46" t="str">
        <f t="shared" si="0"/>
        <v/>
      </c>
      <c r="I52" s="44"/>
      <c r="J52" s="44"/>
    </row>
    <row r="53" spans="1:10" ht="15.75" customHeight="1">
      <c r="A53" s="47">
        <v>50</v>
      </c>
      <c r="B53" s="29" t="str">
        <f>RIGHT(tbl_PCR[[#This Row],[Well]],LEN(tbl_PCR[[#This Row],[Well]])-1)</f>
        <v>7</v>
      </c>
      <c r="C53" s="29" t="s">
        <v>51</v>
      </c>
      <c r="D53" s="38" t="str">
        <f>IF(Assay!$F$32=Reference!$E$120,IF(LEN(tbl_PCR[[#This Row],[Sample ID]])&gt;0,tbl_PCR[[#This Row],[Sample ID]],""),IF(LEN(tbl_PCR[[#This Row],[Extraction ID]])&gt;0,tbl_PCR[[#This Row],[Extraction ID]],""))</f>
        <v/>
      </c>
      <c r="E53" s="23"/>
      <c r="F53" s="23"/>
      <c r="G53" s="23"/>
      <c r="H53" s="3" t="str">
        <f t="shared" si="0"/>
        <v/>
      </c>
      <c r="I53" s="27"/>
      <c r="J53" s="27"/>
    </row>
    <row r="54" spans="1:10" ht="15.75" customHeight="1">
      <c r="A54" s="47">
        <v>51</v>
      </c>
      <c r="B54" s="29" t="str">
        <f>RIGHT(tbl_PCR[[#This Row],[Well]],LEN(tbl_PCR[[#This Row],[Well]])-1)</f>
        <v>7</v>
      </c>
      <c r="C54" s="29" t="s">
        <v>90</v>
      </c>
      <c r="D54" s="38" t="str">
        <f>IF(Assay!$F$32=Reference!$E$120,IF(LEN(tbl_PCR[[#This Row],[Sample ID]])&gt;0,tbl_PCR[[#This Row],[Sample ID]],""),IF(LEN(tbl_PCR[[#This Row],[Extraction ID]])&gt;0,tbl_PCR[[#This Row],[Extraction ID]],""))</f>
        <v/>
      </c>
      <c r="E54" s="23"/>
      <c r="F54" s="23"/>
      <c r="G54" s="23"/>
      <c r="H54" s="3" t="str">
        <f t="shared" si="0"/>
        <v/>
      </c>
      <c r="I54" s="27"/>
      <c r="J54" s="27"/>
    </row>
    <row r="55" spans="1:10" ht="15.75" customHeight="1">
      <c r="A55" s="47">
        <v>52</v>
      </c>
      <c r="B55" s="29" t="str">
        <f>RIGHT(tbl_PCR[[#This Row],[Well]],LEN(tbl_PCR[[#This Row],[Well]])-1)</f>
        <v>7</v>
      </c>
      <c r="C55" s="29" t="s">
        <v>91</v>
      </c>
      <c r="D55" s="38" t="str">
        <f>IF(Assay!$F$32=Reference!$E$120,IF(LEN(tbl_PCR[[#This Row],[Sample ID]])&gt;0,tbl_PCR[[#This Row],[Sample ID]],""),IF(LEN(tbl_PCR[[#This Row],[Extraction ID]])&gt;0,tbl_PCR[[#This Row],[Extraction ID]],""))</f>
        <v/>
      </c>
      <c r="E55" s="23"/>
      <c r="F55" s="23"/>
      <c r="G55" s="23"/>
      <c r="H55" s="3" t="str">
        <f t="shared" si="0"/>
        <v/>
      </c>
      <c r="I55" s="27"/>
      <c r="J55" s="27"/>
    </row>
    <row r="56" spans="1:10" ht="15.75" customHeight="1">
      <c r="A56" s="47">
        <v>53</v>
      </c>
      <c r="B56" s="29" t="str">
        <f>RIGHT(tbl_PCR[[#This Row],[Well]],LEN(tbl_PCR[[#This Row],[Well]])-1)</f>
        <v>7</v>
      </c>
      <c r="C56" s="29" t="s">
        <v>92</v>
      </c>
      <c r="D56" s="38" t="str">
        <f>IF(Assay!$F$32=Reference!$E$120,IF(LEN(tbl_PCR[[#This Row],[Sample ID]])&gt;0,tbl_PCR[[#This Row],[Sample ID]],""),IF(LEN(tbl_PCR[[#This Row],[Extraction ID]])&gt;0,tbl_PCR[[#This Row],[Extraction ID]],""))</f>
        <v/>
      </c>
      <c r="E56" s="23"/>
      <c r="F56" s="23"/>
      <c r="G56" s="23"/>
      <c r="H56" s="3" t="str">
        <f t="shared" si="0"/>
        <v/>
      </c>
      <c r="I56" s="27"/>
      <c r="J56" s="27"/>
    </row>
    <row r="57" spans="1:10" ht="15.75" customHeight="1">
      <c r="A57" s="47">
        <v>54</v>
      </c>
      <c r="B57" s="29" t="str">
        <f>RIGHT(tbl_PCR[[#This Row],[Well]],LEN(tbl_PCR[[#This Row],[Well]])-1)</f>
        <v>7</v>
      </c>
      <c r="C57" s="29" t="s">
        <v>93</v>
      </c>
      <c r="D57" s="38" t="str">
        <f>IF(Assay!$F$32=Reference!$E$120,IF(LEN(tbl_PCR[[#This Row],[Sample ID]])&gt;0,tbl_PCR[[#This Row],[Sample ID]],""),IF(LEN(tbl_PCR[[#This Row],[Extraction ID]])&gt;0,tbl_PCR[[#This Row],[Extraction ID]],""))</f>
        <v/>
      </c>
      <c r="E57" s="23"/>
      <c r="F57" s="23"/>
      <c r="G57" s="23"/>
      <c r="H57" s="3" t="str">
        <f t="shared" si="0"/>
        <v/>
      </c>
      <c r="I57" s="27"/>
      <c r="J57" s="27"/>
    </row>
    <row r="58" spans="1:10" ht="15.75" customHeight="1">
      <c r="A58" s="47">
        <v>55</v>
      </c>
      <c r="B58" s="29" t="str">
        <f>RIGHT(tbl_PCR[[#This Row],[Well]],LEN(tbl_PCR[[#This Row],[Well]])-1)</f>
        <v>7</v>
      </c>
      <c r="C58" s="29" t="s">
        <v>94</v>
      </c>
      <c r="D58" s="38" t="str">
        <f>IF(Assay!$F$32=Reference!$E$120,IF(LEN(tbl_PCR[[#This Row],[Sample ID]])&gt;0,tbl_PCR[[#This Row],[Sample ID]],""),IF(LEN(tbl_PCR[[#This Row],[Extraction ID]])&gt;0,tbl_PCR[[#This Row],[Extraction ID]],""))</f>
        <v/>
      </c>
      <c r="E58" s="23"/>
      <c r="F58" s="23"/>
      <c r="G58" s="23"/>
      <c r="H58" s="3" t="str">
        <f t="shared" si="0"/>
        <v/>
      </c>
      <c r="I58" s="27"/>
      <c r="J58" s="27"/>
    </row>
    <row r="59" spans="1:10" ht="15.75" customHeight="1" thickBot="1">
      <c r="A59" s="48">
        <v>56</v>
      </c>
      <c r="B59" s="54" t="str">
        <f>RIGHT(tbl_PCR[[#This Row],[Well]],LEN(tbl_PCR[[#This Row],[Well]])-1)</f>
        <v>7</v>
      </c>
      <c r="C59" s="54" t="s">
        <v>95</v>
      </c>
      <c r="D59" s="51" t="str">
        <f>IF(Assay!$F$32=Reference!$E$120,IF(LEN(tbl_PCR[[#This Row],[Sample ID]])&gt;0,tbl_PCR[[#This Row],[Sample ID]],""),IF(LEN(tbl_PCR[[#This Row],[Extraction ID]])&gt;0,tbl_PCR[[#This Row],[Extraction ID]],""))</f>
        <v/>
      </c>
      <c r="E59" s="50"/>
      <c r="F59" s="50"/>
      <c r="G59" s="50"/>
      <c r="H59" s="53" t="str">
        <f t="shared" si="0"/>
        <v/>
      </c>
      <c r="I59" s="52"/>
      <c r="J59" s="52"/>
    </row>
    <row r="60" spans="1:10" ht="15.75" customHeight="1">
      <c r="A60" s="42">
        <v>57</v>
      </c>
      <c r="B60" s="43" t="str">
        <f>RIGHT(tbl_PCR[[#This Row],[Well]],LEN(tbl_PCR[[#This Row],[Well]])-1)</f>
        <v>8</v>
      </c>
      <c r="C60" s="43" t="s">
        <v>40</v>
      </c>
      <c r="D60" s="45" t="str">
        <f>IF(Assay!$F$32=Reference!$E$120,IF(LEN(tbl_PCR[[#This Row],[Sample ID]])&gt;0,tbl_PCR[[#This Row],[Sample ID]],""),IF(LEN(tbl_PCR[[#This Row],[Extraction ID]])&gt;0,tbl_PCR[[#This Row],[Extraction ID]],""))</f>
        <v/>
      </c>
      <c r="E60" s="44"/>
      <c r="F60" s="44"/>
      <c r="G60" s="44"/>
      <c r="H60" s="46" t="str">
        <f t="shared" si="0"/>
        <v/>
      </c>
      <c r="I60" s="44"/>
      <c r="J60" s="44"/>
    </row>
    <row r="61" spans="1:10" ht="15.75" customHeight="1">
      <c r="A61" s="47">
        <v>58</v>
      </c>
      <c r="B61" s="29" t="str">
        <f>RIGHT(tbl_PCR[[#This Row],[Well]],LEN(tbl_PCR[[#This Row],[Well]])-1)</f>
        <v>8</v>
      </c>
      <c r="C61" s="29" t="s">
        <v>52</v>
      </c>
      <c r="D61" s="38" t="str">
        <f>IF(Assay!$F$32=Reference!$E$120,IF(LEN(tbl_PCR[[#This Row],[Sample ID]])&gt;0,tbl_PCR[[#This Row],[Sample ID]],""),IF(LEN(tbl_PCR[[#This Row],[Extraction ID]])&gt;0,tbl_PCR[[#This Row],[Extraction ID]],""))</f>
        <v/>
      </c>
      <c r="E61" s="23"/>
      <c r="F61" s="23"/>
      <c r="G61" s="23"/>
      <c r="H61" s="3" t="str">
        <f t="shared" si="0"/>
        <v/>
      </c>
      <c r="I61" s="27"/>
      <c r="J61" s="27"/>
    </row>
    <row r="62" spans="1:10" ht="15.75" customHeight="1">
      <c r="A62" s="47">
        <v>59</v>
      </c>
      <c r="B62" s="29" t="str">
        <f>RIGHT(tbl_PCR[[#This Row],[Well]],LEN(tbl_PCR[[#This Row],[Well]])-1)</f>
        <v>8</v>
      </c>
      <c r="C62" s="29" t="s">
        <v>96</v>
      </c>
      <c r="D62" s="38" t="str">
        <f>IF(Assay!$F$32=Reference!$E$120,IF(LEN(tbl_PCR[[#This Row],[Sample ID]])&gt;0,tbl_PCR[[#This Row],[Sample ID]],""),IF(LEN(tbl_PCR[[#This Row],[Extraction ID]])&gt;0,tbl_PCR[[#This Row],[Extraction ID]],""))</f>
        <v/>
      </c>
      <c r="E62" s="23"/>
      <c r="F62" s="23"/>
      <c r="G62" s="23"/>
      <c r="H62" s="3" t="str">
        <f t="shared" si="0"/>
        <v/>
      </c>
      <c r="I62" s="27"/>
      <c r="J62" s="27"/>
    </row>
    <row r="63" spans="1:10" ht="15.75" customHeight="1">
      <c r="A63" s="47">
        <v>60</v>
      </c>
      <c r="B63" s="29" t="str">
        <f>RIGHT(tbl_PCR[[#This Row],[Well]],LEN(tbl_PCR[[#This Row],[Well]])-1)</f>
        <v>8</v>
      </c>
      <c r="C63" s="29" t="s">
        <v>97</v>
      </c>
      <c r="D63" s="38" t="str">
        <f>IF(Assay!$F$32=Reference!$E$120,IF(LEN(tbl_PCR[[#This Row],[Sample ID]])&gt;0,tbl_PCR[[#This Row],[Sample ID]],""),IF(LEN(tbl_PCR[[#This Row],[Extraction ID]])&gt;0,tbl_PCR[[#This Row],[Extraction ID]],""))</f>
        <v/>
      </c>
      <c r="E63" s="23"/>
      <c r="F63" s="23"/>
      <c r="G63" s="23"/>
      <c r="H63" s="3" t="str">
        <f t="shared" si="0"/>
        <v/>
      </c>
      <c r="I63" s="27"/>
      <c r="J63" s="27"/>
    </row>
    <row r="64" spans="1:10" ht="15.75" customHeight="1">
      <c r="A64" s="47">
        <v>61</v>
      </c>
      <c r="B64" s="29" t="str">
        <f>RIGHT(tbl_PCR[[#This Row],[Well]],LEN(tbl_PCR[[#This Row],[Well]])-1)</f>
        <v>8</v>
      </c>
      <c r="C64" s="29" t="s">
        <v>98</v>
      </c>
      <c r="D64" s="38" t="str">
        <f>IF(Assay!$F$32=Reference!$E$120,IF(LEN(tbl_PCR[[#This Row],[Sample ID]])&gt;0,tbl_PCR[[#This Row],[Sample ID]],""),IF(LEN(tbl_PCR[[#This Row],[Extraction ID]])&gt;0,tbl_PCR[[#This Row],[Extraction ID]],""))</f>
        <v/>
      </c>
      <c r="E64" s="23"/>
      <c r="F64" s="23"/>
      <c r="G64" s="23"/>
      <c r="H64" s="3" t="str">
        <f t="shared" si="0"/>
        <v/>
      </c>
      <c r="I64" s="27"/>
      <c r="J64" s="27"/>
    </row>
    <row r="65" spans="1:10" ht="15.75" customHeight="1">
      <c r="A65" s="47">
        <v>62</v>
      </c>
      <c r="B65" s="29" t="str">
        <f>RIGHT(tbl_PCR[[#This Row],[Well]],LEN(tbl_PCR[[#This Row],[Well]])-1)</f>
        <v>8</v>
      </c>
      <c r="C65" s="29" t="s">
        <v>99</v>
      </c>
      <c r="D65" s="38" t="str">
        <f>IF(Assay!$F$32=Reference!$E$120,IF(LEN(tbl_PCR[[#This Row],[Sample ID]])&gt;0,tbl_PCR[[#This Row],[Sample ID]],""),IF(LEN(tbl_PCR[[#This Row],[Extraction ID]])&gt;0,tbl_PCR[[#This Row],[Extraction ID]],""))</f>
        <v/>
      </c>
      <c r="E65" s="23"/>
      <c r="F65" s="23"/>
      <c r="G65" s="23"/>
      <c r="H65" s="3" t="str">
        <f t="shared" si="0"/>
        <v/>
      </c>
      <c r="I65" s="27"/>
      <c r="J65" s="27"/>
    </row>
    <row r="66" spans="1:10" ht="15.75" customHeight="1">
      <c r="A66" s="47">
        <v>63</v>
      </c>
      <c r="B66" s="29" t="str">
        <f>RIGHT(tbl_PCR[[#This Row],[Well]],LEN(tbl_PCR[[#This Row],[Well]])-1)</f>
        <v>8</v>
      </c>
      <c r="C66" s="29" t="s">
        <v>100</v>
      </c>
      <c r="D66" s="38" t="str">
        <f>IF(Assay!$F$32=Reference!$E$120,IF(LEN(tbl_PCR[[#This Row],[Sample ID]])&gt;0,tbl_PCR[[#This Row],[Sample ID]],""),IF(LEN(tbl_PCR[[#This Row],[Extraction ID]])&gt;0,tbl_PCR[[#This Row],[Extraction ID]],""))</f>
        <v/>
      </c>
      <c r="E66" s="23"/>
      <c r="F66" s="23"/>
      <c r="G66" s="23"/>
      <c r="H66" s="3" t="str">
        <f t="shared" si="0"/>
        <v/>
      </c>
      <c r="I66" s="27"/>
      <c r="J66" s="27"/>
    </row>
    <row r="67" spans="1:10" ht="15.75" customHeight="1" thickBot="1">
      <c r="A67" s="48">
        <v>64</v>
      </c>
      <c r="B67" s="54" t="str">
        <f>RIGHT(tbl_PCR[[#This Row],[Well]],LEN(tbl_PCR[[#This Row],[Well]])-1)</f>
        <v>8</v>
      </c>
      <c r="C67" s="54" t="s">
        <v>101</v>
      </c>
      <c r="D67" s="51" t="str">
        <f>IF(Assay!$F$32=Reference!$E$120,IF(LEN(tbl_PCR[[#This Row],[Sample ID]])&gt;0,tbl_PCR[[#This Row],[Sample ID]],""),IF(LEN(tbl_PCR[[#This Row],[Extraction ID]])&gt;0,tbl_PCR[[#This Row],[Extraction ID]],""))</f>
        <v/>
      </c>
      <c r="E67" s="50"/>
      <c r="F67" s="50"/>
      <c r="G67" s="50"/>
      <c r="H67" s="53" t="str">
        <f t="shared" si="0"/>
        <v/>
      </c>
      <c r="I67" s="52"/>
      <c r="J67" s="52"/>
    </row>
    <row r="68" spans="1:10" ht="15.75" customHeight="1">
      <c r="A68" s="42">
        <v>65</v>
      </c>
      <c r="B68" s="43" t="str">
        <f>RIGHT(tbl_PCR[[#This Row],[Well]],LEN(tbl_PCR[[#This Row],[Well]])-1)</f>
        <v>9</v>
      </c>
      <c r="C68" s="43" t="s">
        <v>41</v>
      </c>
      <c r="D68" s="45" t="str">
        <f>IF(Assay!$F$32=Reference!$E$120,IF(LEN(tbl_PCR[[#This Row],[Sample ID]])&gt;0,tbl_PCR[[#This Row],[Sample ID]],""),IF(LEN(tbl_PCR[[#This Row],[Extraction ID]])&gt;0,tbl_PCR[[#This Row],[Extraction ID]],""))</f>
        <v/>
      </c>
      <c r="E68" s="44"/>
      <c r="F68" s="44"/>
      <c r="G68" s="44"/>
      <c r="H68" s="46" t="str">
        <f t="shared" si="0"/>
        <v/>
      </c>
      <c r="I68" s="44"/>
      <c r="J68" s="44"/>
    </row>
    <row r="69" spans="1:10" ht="15.75" customHeight="1">
      <c r="A69" s="47">
        <v>66</v>
      </c>
      <c r="B69" s="29" t="str">
        <f>RIGHT(tbl_PCR[[#This Row],[Well]],LEN(tbl_PCR[[#This Row],[Well]])-1)</f>
        <v>9</v>
      </c>
      <c r="C69" s="29" t="s">
        <v>53</v>
      </c>
      <c r="D69" s="38" t="str">
        <f>IF(Assay!$F$32=Reference!$E$120,IF(LEN(tbl_PCR[[#This Row],[Sample ID]])&gt;0,tbl_PCR[[#This Row],[Sample ID]],""),IF(LEN(tbl_PCR[[#This Row],[Extraction ID]])&gt;0,tbl_PCR[[#This Row],[Extraction ID]],""))</f>
        <v/>
      </c>
      <c r="E69" s="23"/>
      <c r="F69" s="23"/>
      <c r="G69" s="23"/>
      <c r="H69" s="3" t="str">
        <f t="shared" ref="H69:H99" si="1">IF(OR(I69="",J69=""),"",SUM(I69*J69))</f>
        <v/>
      </c>
      <c r="I69" s="27"/>
      <c r="J69" s="27"/>
    </row>
    <row r="70" spans="1:10" ht="15.75" customHeight="1">
      <c r="A70" s="47">
        <v>67</v>
      </c>
      <c r="B70" s="29" t="str">
        <f>RIGHT(tbl_PCR[[#This Row],[Well]],LEN(tbl_PCR[[#This Row],[Well]])-1)</f>
        <v>9</v>
      </c>
      <c r="C70" s="29" t="s">
        <v>102</v>
      </c>
      <c r="D70" s="38" t="str">
        <f>IF(Assay!$F$32=Reference!$E$120,IF(LEN(tbl_PCR[[#This Row],[Sample ID]])&gt;0,tbl_PCR[[#This Row],[Sample ID]],""),IF(LEN(tbl_PCR[[#This Row],[Extraction ID]])&gt;0,tbl_PCR[[#This Row],[Extraction ID]],""))</f>
        <v/>
      </c>
      <c r="E70" s="23"/>
      <c r="F70" s="23"/>
      <c r="G70" s="23"/>
      <c r="H70" s="3" t="str">
        <f t="shared" si="1"/>
        <v/>
      </c>
      <c r="I70" s="27"/>
      <c r="J70" s="27"/>
    </row>
    <row r="71" spans="1:10" ht="15.75" customHeight="1">
      <c r="A71" s="47">
        <v>68</v>
      </c>
      <c r="B71" s="29" t="str">
        <f>RIGHT(tbl_PCR[[#This Row],[Well]],LEN(tbl_PCR[[#This Row],[Well]])-1)</f>
        <v>9</v>
      </c>
      <c r="C71" s="29" t="s">
        <v>103</v>
      </c>
      <c r="D71" s="38" t="str">
        <f>IF(Assay!$F$32=Reference!$E$120,IF(LEN(tbl_PCR[[#This Row],[Sample ID]])&gt;0,tbl_PCR[[#This Row],[Sample ID]],""),IF(LEN(tbl_PCR[[#This Row],[Extraction ID]])&gt;0,tbl_PCR[[#This Row],[Extraction ID]],""))</f>
        <v/>
      </c>
      <c r="E71" s="23"/>
      <c r="F71" s="23"/>
      <c r="G71" s="23"/>
      <c r="H71" s="3" t="str">
        <f t="shared" si="1"/>
        <v/>
      </c>
      <c r="I71" s="27"/>
      <c r="J71" s="27"/>
    </row>
    <row r="72" spans="1:10" ht="15.75" customHeight="1">
      <c r="A72" s="47">
        <v>69</v>
      </c>
      <c r="B72" s="29" t="str">
        <f>RIGHT(tbl_PCR[[#This Row],[Well]],LEN(tbl_PCR[[#This Row],[Well]])-1)</f>
        <v>9</v>
      </c>
      <c r="C72" s="29" t="s">
        <v>104</v>
      </c>
      <c r="D72" s="38" t="str">
        <f>IF(Assay!$F$32=Reference!$E$120,IF(LEN(tbl_PCR[[#This Row],[Sample ID]])&gt;0,tbl_PCR[[#This Row],[Sample ID]],""),IF(LEN(tbl_PCR[[#This Row],[Extraction ID]])&gt;0,tbl_PCR[[#This Row],[Extraction ID]],""))</f>
        <v/>
      </c>
      <c r="E72" s="23"/>
      <c r="F72" s="23"/>
      <c r="G72" s="23"/>
      <c r="H72" s="3" t="str">
        <f t="shared" si="1"/>
        <v/>
      </c>
      <c r="I72" s="27"/>
      <c r="J72" s="27"/>
    </row>
    <row r="73" spans="1:10" ht="15.75" customHeight="1">
      <c r="A73" s="47">
        <v>70</v>
      </c>
      <c r="B73" s="29" t="str">
        <f>RIGHT(tbl_PCR[[#This Row],[Well]],LEN(tbl_PCR[[#This Row],[Well]])-1)</f>
        <v>9</v>
      </c>
      <c r="C73" s="29" t="s">
        <v>105</v>
      </c>
      <c r="D73" s="38" t="str">
        <f>IF(Assay!$F$32=Reference!$E$120,IF(LEN(tbl_PCR[[#This Row],[Sample ID]])&gt;0,tbl_PCR[[#This Row],[Sample ID]],""),IF(LEN(tbl_PCR[[#This Row],[Extraction ID]])&gt;0,tbl_PCR[[#This Row],[Extraction ID]],""))</f>
        <v/>
      </c>
      <c r="E73" s="23"/>
      <c r="F73" s="23"/>
      <c r="G73" s="23"/>
      <c r="H73" s="3" t="str">
        <f t="shared" si="1"/>
        <v/>
      </c>
      <c r="I73" s="27"/>
      <c r="J73" s="27"/>
    </row>
    <row r="74" spans="1:10" ht="15.75" customHeight="1">
      <c r="A74" s="47">
        <v>71</v>
      </c>
      <c r="B74" s="29" t="str">
        <f>RIGHT(tbl_PCR[[#This Row],[Well]],LEN(tbl_PCR[[#This Row],[Well]])-1)</f>
        <v>9</v>
      </c>
      <c r="C74" s="29" t="s">
        <v>106</v>
      </c>
      <c r="D74" s="38" t="str">
        <f>IF(Assay!$F$32=Reference!$E$120,IF(LEN(tbl_PCR[[#This Row],[Sample ID]])&gt;0,tbl_PCR[[#This Row],[Sample ID]],""),IF(LEN(tbl_PCR[[#This Row],[Extraction ID]])&gt;0,tbl_PCR[[#This Row],[Extraction ID]],""))</f>
        <v/>
      </c>
      <c r="E74" s="23"/>
      <c r="F74" s="23"/>
      <c r="G74" s="23"/>
      <c r="H74" s="3" t="str">
        <f t="shared" si="1"/>
        <v/>
      </c>
      <c r="I74" s="27"/>
      <c r="J74" s="27"/>
    </row>
    <row r="75" spans="1:10" ht="15.75" customHeight="1" thickBot="1">
      <c r="A75" s="48">
        <v>72</v>
      </c>
      <c r="B75" s="54" t="str">
        <f>RIGHT(tbl_PCR[[#This Row],[Well]],LEN(tbl_PCR[[#This Row],[Well]])-1)</f>
        <v>9</v>
      </c>
      <c r="C75" s="54" t="s">
        <v>107</v>
      </c>
      <c r="D75" s="51" t="str">
        <f>IF(Assay!$F$32=Reference!$E$120,IF(LEN(tbl_PCR[[#This Row],[Sample ID]])&gt;0,tbl_PCR[[#This Row],[Sample ID]],""),IF(LEN(tbl_PCR[[#This Row],[Extraction ID]])&gt;0,tbl_PCR[[#This Row],[Extraction ID]],""))</f>
        <v/>
      </c>
      <c r="E75" s="50"/>
      <c r="F75" s="50"/>
      <c r="G75" s="50"/>
      <c r="H75" s="53" t="str">
        <f t="shared" si="1"/>
        <v/>
      </c>
      <c r="I75" s="52"/>
      <c r="J75" s="52"/>
    </row>
    <row r="76" spans="1:10" ht="15.75" customHeight="1">
      <c r="A76" s="42">
        <v>73</v>
      </c>
      <c r="B76" s="43" t="str">
        <f>RIGHT(tbl_PCR[[#This Row],[Well]],LEN(tbl_PCR[[#This Row],[Well]])-1)</f>
        <v>10</v>
      </c>
      <c r="C76" s="43" t="s">
        <v>42</v>
      </c>
      <c r="D76" s="45" t="str">
        <f>IF(Assay!$F$32=Reference!$E$120,IF(LEN(tbl_PCR[[#This Row],[Sample ID]])&gt;0,tbl_PCR[[#This Row],[Sample ID]],""),IF(LEN(tbl_PCR[[#This Row],[Extraction ID]])&gt;0,tbl_PCR[[#This Row],[Extraction ID]],""))</f>
        <v/>
      </c>
      <c r="E76" s="44"/>
      <c r="F76" s="44"/>
      <c r="G76" s="44"/>
      <c r="H76" s="46" t="str">
        <f t="shared" si="1"/>
        <v/>
      </c>
      <c r="I76" s="44"/>
      <c r="J76" s="44"/>
    </row>
    <row r="77" spans="1:10" ht="15.75" customHeight="1">
      <c r="A77" s="47">
        <v>74</v>
      </c>
      <c r="B77" s="29" t="str">
        <f>RIGHT(tbl_PCR[[#This Row],[Well]],LEN(tbl_PCR[[#This Row],[Well]])-1)</f>
        <v>10</v>
      </c>
      <c r="C77" s="29" t="s">
        <v>108</v>
      </c>
      <c r="D77" s="38" t="str">
        <f>IF(Assay!$F$32=Reference!$E$120,IF(LEN(tbl_PCR[[#This Row],[Sample ID]])&gt;0,tbl_PCR[[#This Row],[Sample ID]],""),IF(LEN(tbl_PCR[[#This Row],[Extraction ID]])&gt;0,tbl_PCR[[#This Row],[Extraction ID]],""))</f>
        <v/>
      </c>
      <c r="E77" s="23"/>
      <c r="F77" s="23"/>
      <c r="G77" s="23"/>
      <c r="H77" s="3" t="str">
        <f t="shared" si="1"/>
        <v/>
      </c>
      <c r="I77" s="27"/>
      <c r="J77" s="27"/>
    </row>
    <row r="78" spans="1:10" ht="15.75" customHeight="1">
      <c r="A78" s="47">
        <v>75</v>
      </c>
      <c r="B78" s="29" t="str">
        <f>RIGHT(tbl_PCR[[#This Row],[Well]],LEN(tbl_PCR[[#This Row],[Well]])-1)</f>
        <v>10</v>
      </c>
      <c r="C78" s="29" t="s">
        <v>109</v>
      </c>
      <c r="D78" s="38" t="str">
        <f>IF(Assay!$F$32=Reference!$E$120,IF(LEN(tbl_PCR[[#This Row],[Sample ID]])&gt;0,tbl_PCR[[#This Row],[Sample ID]],""),IF(LEN(tbl_PCR[[#This Row],[Extraction ID]])&gt;0,tbl_PCR[[#This Row],[Extraction ID]],""))</f>
        <v/>
      </c>
      <c r="E78" s="23"/>
      <c r="F78" s="23"/>
      <c r="G78" s="23"/>
      <c r="H78" s="3" t="str">
        <f t="shared" si="1"/>
        <v/>
      </c>
      <c r="I78" s="27"/>
      <c r="J78" s="27"/>
    </row>
    <row r="79" spans="1:10" ht="15.75" customHeight="1">
      <c r="A79" s="47">
        <v>76</v>
      </c>
      <c r="B79" s="29" t="str">
        <f>RIGHT(tbl_PCR[[#This Row],[Well]],LEN(tbl_PCR[[#This Row],[Well]])-1)</f>
        <v>10</v>
      </c>
      <c r="C79" s="29" t="s">
        <v>110</v>
      </c>
      <c r="D79" s="38" t="str">
        <f>IF(Assay!$F$32=Reference!$E$120,IF(LEN(tbl_PCR[[#This Row],[Sample ID]])&gt;0,tbl_PCR[[#This Row],[Sample ID]],""),IF(LEN(tbl_PCR[[#This Row],[Extraction ID]])&gt;0,tbl_PCR[[#This Row],[Extraction ID]],""))</f>
        <v/>
      </c>
      <c r="E79" s="23"/>
      <c r="F79" s="23"/>
      <c r="G79" s="23"/>
      <c r="H79" s="3" t="str">
        <f t="shared" si="1"/>
        <v/>
      </c>
      <c r="I79" s="27"/>
      <c r="J79" s="27"/>
    </row>
    <row r="80" spans="1:10" ht="15.75" customHeight="1">
      <c r="A80" s="47">
        <v>77</v>
      </c>
      <c r="B80" s="29" t="str">
        <f>RIGHT(tbl_PCR[[#This Row],[Well]],LEN(tbl_PCR[[#This Row],[Well]])-1)</f>
        <v>10</v>
      </c>
      <c r="C80" s="29" t="s">
        <v>111</v>
      </c>
      <c r="D80" s="38" t="str">
        <f>IF(Assay!$F$32=Reference!$E$120,IF(LEN(tbl_PCR[[#This Row],[Sample ID]])&gt;0,tbl_PCR[[#This Row],[Sample ID]],""),IF(LEN(tbl_PCR[[#This Row],[Extraction ID]])&gt;0,tbl_PCR[[#This Row],[Extraction ID]],""))</f>
        <v/>
      </c>
      <c r="E80" s="23"/>
      <c r="F80" s="23"/>
      <c r="G80" s="23"/>
      <c r="H80" s="3" t="str">
        <f t="shared" si="1"/>
        <v/>
      </c>
      <c r="I80" s="27"/>
      <c r="J80" s="27"/>
    </row>
    <row r="81" spans="1:10" ht="15.75" customHeight="1">
      <c r="A81" s="47">
        <v>78</v>
      </c>
      <c r="B81" s="29" t="str">
        <f>RIGHT(tbl_PCR[[#This Row],[Well]],LEN(tbl_PCR[[#This Row],[Well]])-1)</f>
        <v>10</v>
      </c>
      <c r="C81" s="29" t="s">
        <v>112</v>
      </c>
      <c r="D81" s="38" t="str">
        <f>IF(Assay!$F$32=Reference!$E$120,IF(LEN(tbl_PCR[[#This Row],[Sample ID]])&gt;0,tbl_PCR[[#This Row],[Sample ID]],""),IF(LEN(tbl_PCR[[#This Row],[Extraction ID]])&gt;0,tbl_PCR[[#This Row],[Extraction ID]],""))</f>
        <v/>
      </c>
      <c r="E81" s="23"/>
      <c r="F81" s="23"/>
      <c r="G81" s="23"/>
      <c r="H81" s="3" t="str">
        <f t="shared" si="1"/>
        <v/>
      </c>
      <c r="I81" s="27"/>
      <c r="J81" s="27"/>
    </row>
    <row r="82" spans="1:10" ht="15.75" customHeight="1">
      <c r="A82" s="47">
        <v>79</v>
      </c>
      <c r="B82" s="29" t="str">
        <f>RIGHT(tbl_PCR[[#This Row],[Well]],LEN(tbl_PCR[[#This Row],[Well]])-1)</f>
        <v>10</v>
      </c>
      <c r="C82" s="29" t="s">
        <v>113</v>
      </c>
      <c r="D82" s="38" t="str">
        <f>IF(Assay!$F$32=Reference!$E$120,IF(LEN(tbl_PCR[[#This Row],[Sample ID]])&gt;0,tbl_PCR[[#This Row],[Sample ID]],""),IF(LEN(tbl_PCR[[#This Row],[Extraction ID]])&gt;0,tbl_PCR[[#This Row],[Extraction ID]],""))</f>
        <v/>
      </c>
      <c r="E82" s="23"/>
      <c r="F82" s="23"/>
      <c r="G82" s="23"/>
      <c r="H82" s="3" t="str">
        <f t="shared" si="1"/>
        <v/>
      </c>
      <c r="I82" s="27"/>
      <c r="J82" s="27"/>
    </row>
    <row r="83" spans="1:10" ht="15.75" customHeight="1" thickBot="1">
      <c r="A83" s="48">
        <v>80</v>
      </c>
      <c r="B83" s="54" t="str">
        <f>RIGHT(tbl_PCR[[#This Row],[Well]],LEN(tbl_PCR[[#This Row],[Well]])-1)</f>
        <v>10</v>
      </c>
      <c r="C83" s="54" t="s">
        <v>114</v>
      </c>
      <c r="D83" s="51" t="str">
        <f>IF(Assay!$F$32=Reference!$E$120,IF(LEN(tbl_PCR[[#This Row],[Sample ID]])&gt;0,tbl_PCR[[#This Row],[Sample ID]],""),IF(LEN(tbl_PCR[[#This Row],[Extraction ID]])&gt;0,tbl_PCR[[#This Row],[Extraction ID]],""))</f>
        <v/>
      </c>
      <c r="E83" s="50"/>
      <c r="F83" s="50"/>
      <c r="G83" s="50"/>
      <c r="H83" s="53" t="str">
        <f t="shared" si="1"/>
        <v/>
      </c>
      <c r="I83" s="52"/>
      <c r="J83" s="52"/>
    </row>
    <row r="84" spans="1:10" ht="15.75" customHeight="1">
      <c r="A84" s="42">
        <v>81</v>
      </c>
      <c r="B84" s="43" t="str">
        <f>RIGHT(tbl_PCR[[#This Row],[Well]],LEN(tbl_PCR[[#This Row],[Well]])-1)</f>
        <v>11</v>
      </c>
      <c r="C84" s="43" t="s">
        <v>43</v>
      </c>
      <c r="D84" s="45" t="str">
        <f>IF(Assay!$F$32=Reference!$E$120,IF(LEN(tbl_PCR[[#This Row],[Sample ID]])&gt;0,tbl_PCR[[#This Row],[Sample ID]],""),IF(LEN(tbl_PCR[[#This Row],[Extraction ID]])&gt;0,tbl_PCR[[#This Row],[Extraction ID]],""))</f>
        <v/>
      </c>
      <c r="E84" s="44"/>
      <c r="F84" s="44"/>
      <c r="G84" s="44"/>
      <c r="H84" s="46" t="str">
        <f t="shared" si="1"/>
        <v/>
      </c>
      <c r="I84" s="44"/>
      <c r="J84" s="44"/>
    </row>
    <row r="85" spans="1:10" ht="15.75" customHeight="1">
      <c r="A85" s="47">
        <v>82</v>
      </c>
      <c r="B85" s="29" t="str">
        <f>RIGHT(tbl_PCR[[#This Row],[Well]],LEN(tbl_PCR[[#This Row],[Well]])-1)</f>
        <v>11</v>
      </c>
      <c r="C85" s="29" t="s">
        <v>115</v>
      </c>
      <c r="D85" s="38" t="str">
        <f>IF(Assay!$F$32=Reference!$E$120,IF(LEN(tbl_PCR[[#This Row],[Sample ID]])&gt;0,tbl_PCR[[#This Row],[Sample ID]],""),IF(LEN(tbl_PCR[[#This Row],[Extraction ID]])&gt;0,tbl_PCR[[#This Row],[Extraction ID]],""))</f>
        <v/>
      </c>
      <c r="E85" s="23"/>
      <c r="F85" s="23"/>
      <c r="G85" s="23"/>
      <c r="H85" s="3" t="str">
        <f t="shared" si="1"/>
        <v/>
      </c>
      <c r="I85" s="27"/>
      <c r="J85" s="27"/>
    </row>
    <row r="86" spans="1:10" ht="15.75" customHeight="1">
      <c r="A86" s="47">
        <v>83</v>
      </c>
      <c r="B86" s="29" t="str">
        <f>RIGHT(tbl_PCR[[#This Row],[Well]],LEN(tbl_PCR[[#This Row],[Well]])-1)</f>
        <v>11</v>
      </c>
      <c r="C86" s="29" t="s">
        <v>116</v>
      </c>
      <c r="D86" s="38" t="str">
        <f>IF(Assay!$F$32=Reference!$E$120,IF(LEN(tbl_PCR[[#This Row],[Sample ID]])&gt;0,tbl_PCR[[#This Row],[Sample ID]],""),IF(LEN(tbl_PCR[[#This Row],[Extraction ID]])&gt;0,tbl_PCR[[#This Row],[Extraction ID]],""))</f>
        <v/>
      </c>
      <c r="E86" s="23"/>
      <c r="F86" s="23"/>
      <c r="G86" s="23"/>
      <c r="H86" s="3" t="str">
        <f t="shared" si="1"/>
        <v/>
      </c>
      <c r="I86" s="27"/>
      <c r="J86" s="27"/>
    </row>
    <row r="87" spans="1:10" ht="15.75" customHeight="1">
      <c r="A87" s="47">
        <v>84</v>
      </c>
      <c r="B87" s="29" t="str">
        <f>RIGHT(tbl_PCR[[#This Row],[Well]],LEN(tbl_PCR[[#This Row],[Well]])-1)</f>
        <v>11</v>
      </c>
      <c r="C87" s="29" t="s">
        <v>117</v>
      </c>
      <c r="D87" s="38" t="str">
        <f>IF(Assay!$F$32=Reference!$E$120,IF(LEN(tbl_PCR[[#This Row],[Sample ID]])&gt;0,tbl_PCR[[#This Row],[Sample ID]],""),IF(LEN(tbl_PCR[[#This Row],[Extraction ID]])&gt;0,tbl_PCR[[#This Row],[Extraction ID]],""))</f>
        <v/>
      </c>
      <c r="E87" s="23"/>
      <c r="F87" s="23"/>
      <c r="G87" s="23"/>
      <c r="H87" s="3" t="str">
        <f t="shared" si="1"/>
        <v/>
      </c>
      <c r="I87" s="27"/>
      <c r="J87" s="27"/>
    </row>
    <row r="88" spans="1:10" ht="15.75" customHeight="1">
      <c r="A88" s="47">
        <v>85</v>
      </c>
      <c r="B88" s="29" t="str">
        <f>RIGHT(tbl_PCR[[#This Row],[Well]],LEN(tbl_PCR[[#This Row],[Well]])-1)</f>
        <v>11</v>
      </c>
      <c r="C88" s="29" t="s">
        <v>118</v>
      </c>
      <c r="D88" s="38" t="str">
        <f>IF(Assay!$F$32=Reference!$E$120,IF(LEN(tbl_PCR[[#This Row],[Sample ID]])&gt;0,tbl_PCR[[#This Row],[Sample ID]],""),IF(LEN(tbl_PCR[[#This Row],[Extraction ID]])&gt;0,tbl_PCR[[#This Row],[Extraction ID]],""))</f>
        <v/>
      </c>
      <c r="E88" s="23"/>
      <c r="F88" s="23"/>
      <c r="G88" s="23"/>
      <c r="H88" s="3" t="str">
        <f t="shared" si="1"/>
        <v/>
      </c>
      <c r="I88" s="27"/>
      <c r="J88" s="27"/>
    </row>
    <row r="89" spans="1:10" ht="15.75" customHeight="1">
      <c r="A89" s="47">
        <v>86</v>
      </c>
      <c r="B89" s="29" t="str">
        <f>RIGHT(tbl_PCR[[#This Row],[Well]],LEN(tbl_PCR[[#This Row],[Well]])-1)</f>
        <v>11</v>
      </c>
      <c r="C89" s="29" t="s">
        <v>119</v>
      </c>
      <c r="D89" s="38" t="str">
        <f>IF(Assay!$F$32=Reference!$E$120,IF(LEN(tbl_PCR[[#This Row],[Sample ID]])&gt;0,tbl_PCR[[#This Row],[Sample ID]],""),IF(LEN(tbl_PCR[[#This Row],[Extraction ID]])&gt;0,tbl_PCR[[#This Row],[Extraction ID]],""))</f>
        <v/>
      </c>
      <c r="E89" s="23"/>
      <c r="F89" s="23"/>
      <c r="G89" s="23"/>
      <c r="H89" s="3" t="str">
        <f t="shared" si="1"/>
        <v/>
      </c>
      <c r="I89" s="27"/>
      <c r="J89" s="27"/>
    </row>
    <row r="90" spans="1:10" ht="15.75" customHeight="1">
      <c r="A90" s="47">
        <v>87</v>
      </c>
      <c r="B90" s="29" t="str">
        <f>RIGHT(tbl_PCR[[#This Row],[Well]],LEN(tbl_PCR[[#This Row],[Well]])-1)</f>
        <v>11</v>
      </c>
      <c r="C90" s="29" t="s">
        <v>120</v>
      </c>
      <c r="D90" s="38" t="str">
        <f>IF(Assay!$F$32=Reference!$E$120,IF(LEN(tbl_PCR[[#This Row],[Sample ID]])&gt;0,tbl_PCR[[#This Row],[Sample ID]],""),IF(LEN(tbl_PCR[[#This Row],[Extraction ID]])&gt;0,tbl_PCR[[#This Row],[Extraction ID]],""))</f>
        <v/>
      </c>
      <c r="E90" s="23"/>
      <c r="F90" s="23"/>
      <c r="G90" s="23"/>
      <c r="H90" s="3" t="str">
        <f t="shared" si="1"/>
        <v/>
      </c>
      <c r="I90" s="27"/>
      <c r="J90" s="27"/>
    </row>
    <row r="91" spans="1:10" ht="15.75" customHeight="1" thickBot="1">
      <c r="A91" s="48">
        <v>88</v>
      </c>
      <c r="B91" s="54" t="str">
        <f>RIGHT(tbl_PCR[[#This Row],[Well]],LEN(tbl_PCR[[#This Row],[Well]])-1)</f>
        <v>11</v>
      </c>
      <c r="C91" s="54" t="s">
        <v>121</v>
      </c>
      <c r="D91" s="51" t="str">
        <f>IF(Assay!$F$32=Reference!$E$120,IF(LEN(tbl_PCR[[#This Row],[Sample ID]])&gt;0,tbl_PCR[[#This Row],[Sample ID]],""),IF(LEN(tbl_PCR[[#This Row],[Extraction ID]])&gt;0,tbl_PCR[[#This Row],[Extraction ID]],""))</f>
        <v/>
      </c>
      <c r="E91" s="50"/>
      <c r="F91" s="50"/>
      <c r="G91" s="50"/>
      <c r="H91" s="53" t="str">
        <f t="shared" si="1"/>
        <v/>
      </c>
      <c r="I91" s="52"/>
      <c r="J91" s="52"/>
    </row>
    <row r="92" spans="1:10" ht="15.75" customHeight="1">
      <c r="A92" s="42">
        <v>89</v>
      </c>
      <c r="B92" s="43" t="str">
        <f>RIGHT(tbl_PCR[[#This Row],[Well]],LEN(tbl_PCR[[#This Row],[Well]])-1)</f>
        <v>12</v>
      </c>
      <c r="C92" s="43" t="s">
        <v>44</v>
      </c>
      <c r="D92" s="45" t="str">
        <f>IF(Assay!$F$32=Reference!$E$120,IF(LEN(tbl_PCR[[#This Row],[Sample ID]])&gt;0,tbl_PCR[[#This Row],[Sample ID]],""),IF(LEN(tbl_PCR[[#This Row],[Extraction ID]])&gt;0,tbl_PCR[[#This Row],[Extraction ID]],""))</f>
        <v/>
      </c>
      <c r="E92" s="44"/>
      <c r="F92" s="44"/>
      <c r="G92" s="44"/>
      <c r="H92" s="46" t="str">
        <f t="shared" si="1"/>
        <v/>
      </c>
      <c r="I92" s="44"/>
      <c r="J92" s="44"/>
    </row>
    <row r="93" spans="1:10" ht="15.75" customHeight="1">
      <c r="A93" s="47">
        <v>90</v>
      </c>
      <c r="B93" s="29" t="str">
        <f>RIGHT(tbl_PCR[[#This Row],[Well]],LEN(tbl_PCR[[#This Row],[Well]])-1)</f>
        <v>12</v>
      </c>
      <c r="C93" s="29" t="s">
        <v>122</v>
      </c>
      <c r="D93" s="38" t="str">
        <f>IF(Assay!$F$32=Reference!$E$120,IF(LEN(tbl_PCR[[#This Row],[Sample ID]])&gt;0,tbl_PCR[[#This Row],[Sample ID]],""),IF(LEN(tbl_PCR[[#This Row],[Extraction ID]])&gt;0,tbl_PCR[[#This Row],[Extraction ID]],""))</f>
        <v/>
      </c>
      <c r="E93" s="23"/>
      <c r="F93" s="23"/>
      <c r="G93" s="23"/>
      <c r="H93" s="3" t="str">
        <f t="shared" si="1"/>
        <v/>
      </c>
      <c r="I93" s="27"/>
      <c r="J93" s="27"/>
    </row>
    <row r="94" spans="1:10" ht="15.75" customHeight="1">
      <c r="A94" s="47">
        <v>91</v>
      </c>
      <c r="B94" s="29" t="str">
        <f>RIGHT(tbl_PCR[[#This Row],[Well]],LEN(tbl_PCR[[#This Row],[Well]])-1)</f>
        <v>12</v>
      </c>
      <c r="C94" s="29" t="s">
        <v>123</v>
      </c>
      <c r="D94" s="38" t="str">
        <f>IF(Assay!$F$32=Reference!$E$120,IF(LEN(tbl_PCR[[#This Row],[Sample ID]])&gt;0,tbl_PCR[[#This Row],[Sample ID]],""),IF(LEN(tbl_PCR[[#This Row],[Extraction ID]])&gt;0,tbl_PCR[[#This Row],[Extraction ID]],""))</f>
        <v/>
      </c>
      <c r="E94" s="23"/>
      <c r="F94" s="23"/>
      <c r="G94" s="23"/>
      <c r="H94" s="3" t="str">
        <f t="shared" si="1"/>
        <v/>
      </c>
      <c r="I94" s="27"/>
      <c r="J94" s="27"/>
    </row>
    <row r="95" spans="1:10" ht="15.75" customHeight="1">
      <c r="A95" s="47">
        <v>92</v>
      </c>
      <c r="B95" s="29" t="str">
        <f>RIGHT(tbl_PCR[[#This Row],[Well]],LEN(tbl_PCR[[#This Row],[Well]])-1)</f>
        <v>12</v>
      </c>
      <c r="C95" s="29" t="s">
        <v>124</v>
      </c>
      <c r="D95" s="38" t="str">
        <f>IF(Assay!$F$32=Reference!$E$120,IF(LEN(tbl_PCR[[#This Row],[Sample ID]])&gt;0,tbl_PCR[[#This Row],[Sample ID]],""),IF(LEN(tbl_PCR[[#This Row],[Extraction ID]])&gt;0,tbl_PCR[[#This Row],[Extraction ID]],""))</f>
        <v/>
      </c>
      <c r="E95" s="23"/>
      <c r="F95" s="23"/>
      <c r="G95" s="23"/>
      <c r="H95" s="3" t="str">
        <f t="shared" si="1"/>
        <v/>
      </c>
      <c r="I95" s="27"/>
      <c r="J95" s="27"/>
    </row>
    <row r="96" spans="1:10" ht="15.75" customHeight="1">
      <c r="A96" s="47">
        <v>93</v>
      </c>
      <c r="B96" s="29" t="str">
        <f>RIGHT(tbl_PCR[[#This Row],[Well]],LEN(tbl_PCR[[#This Row],[Well]])-1)</f>
        <v>12</v>
      </c>
      <c r="C96" s="29" t="s">
        <v>125</v>
      </c>
      <c r="D96" s="38" t="str">
        <f>IF(Assay!$F$32=Reference!$E$120,IF(LEN(tbl_PCR[[#This Row],[Sample ID]])&gt;0,tbl_PCR[[#This Row],[Sample ID]],""),IF(LEN(tbl_PCR[[#This Row],[Extraction ID]])&gt;0,tbl_PCR[[#This Row],[Extraction ID]],""))</f>
        <v/>
      </c>
      <c r="E96" s="23"/>
      <c r="F96" s="23"/>
      <c r="G96" s="23"/>
      <c r="H96" s="3" t="str">
        <f t="shared" si="1"/>
        <v/>
      </c>
      <c r="I96" s="27"/>
      <c r="J96" s="27"/>
    </row>
    <row r="97" spans="1:10" ht="15.75" customHeight="1">
      <c r="A97" s="47">
        <v>94</v>
      </c>
      <c r="B97" s="29" t="str">
        <f>RIGHT(tbl_PCR[[#This Row],[Well]],LEN(tbl_PCR[[#This Row],[Well]])-1)</f>
        <v>12</v>
      </c>
      <c r="C97" s="29" t="s">
        <v>126</v>
      </c>
      <c r="D97" s="38" t="str">
        <f>IF(Assay!$F$32=Reference!$E$120,IF(LEN(tbl_PCR[[#This Row],[Sample ID]])&gt;0,tbl_PCR[[#This Row],[Sample ID]],""),IF(LEN(tbl_PCR[[#This Row],[Extraction ID]])&gt;0,tbl_PCR[[#This Row],[Extraction ID]],""))</f>
        <v/>
      </c>
      <c r="E97" s="23"/>
      <c r="F97" s="23"/>
      <c r="G97" s="23"/>
      <c r="H97" s="3" t="str">
        <f t="shared" si="1"/>
        <v/>
      </c>
      <c r="I97" s="27"/>
      <c r="J97" s="27"/>
    </row>
    <row r="98" spans="1:10" ht="15.75" customHeight="1">
      <c r="A98" s="47">
        <v>95</v>
      </c>
      <c r="B98" s="29" t="str">
        <f>RIGHT(tbl_PCR[[#This Row],[Well]],LEN(tbl_PCR[[#This Row],[Well]])-1)</f>
        <v>12</v>
      </c>
      <c r="C98" s="29" t="s">
        <v>127</v>
      </c>
      <c r="D98" s="38" t="str">
        <f>IF(Assay!$F$32=Reference!$E$120,IF(LEN(tbl_PCR[[#This Row],[Sample ID]])&gt;0,tbl_PCR[[#This Row],[Sample ID]],""),IF(LEN(tbl_PCR[[#This Row],[Extraction ID]])&gt;0,tbl_PCR[[#This Row],[Extraction ID]],""))</f>
        <v/>
      </c>
      <c r="E98" s="23"/>
      <c r="F98" s="23"/>
      <c r="G98" s="23"/>
      <c r="H98" s="3" t="str">
        <f t="shared" si="1"/>
        <v/>
      </c>
      <c r="I98" s="27"/>
      <c r="J98" s="27"/>
    </row>
    <row r="99" spans="1:10" ht="15.75" customHeight="1" thickBot="1">
      <c r="A99" s="48">
        <v>96</v>
      </c>
      <c r="B99" s="54" t="str">
        <f>RIGHT(tbl_PCR[[#This Row],[Well]],LEN(tbl_PCR[[#This Row],[Well]])-1)</f>
        <v>12</v>
      </c>
      <c r="C99" s="54" t="s">
        <v>128</v>
      </c>
      <c r="D99" s="51" t="str">
        <f>IF(Assay!$F$32=Reference!$E$120,IF(LEN(tbl_PCR[[#This Row],[Sample ID]])&gt;0,tbl_PCR[[#This Row],[Sample ID]],""),IF(LEN(tbl_PCR[[#This Row],[Extraction ID]])&gt;0,tbl_PCR[[#This Row],[Extraction ID]],""))</f>
        <v/>
      </c>
      <c r="E99" s="50"/>
      <c r="F99" s="50"/>
      <c r="G99" s="50"/>
      <c r="H99" s="53" t="str">
        <f t="shared" si="1"/>
        <v/>
      </c>
      <c r="I99" s="52"/>
      <c r="J99" s="52"/>
    </row>
    <row r="100" spans="1:10" s="13" customFormat="1">
      <c r="A100" s="12"/>
      <c r="B100" s="12"/>
      <c r="C100" s="12"/>
      <c r="D100" s="12">
        <v>1</v>
      </c>
      <c r="E100" s="106" t="s">
        <v>215</v>
      </c>
      <c r="F100" s="106"/>
      <c r="G100" s="106"/>
      <c r="H100" s="106"/>
      <c r="I100"/>
    </row>
    <row r="101" spans="1:10">
      <c r="A101" s="1"/>
      <c r="B101" s="1"/>
      <c r="C101" s="1"/>
      <c r="D101" s="1"/>
      <c r="E101" s="1"/>
    </row>
    <row r="102" spans="1:10">
      <c r="A102" s="1"/>
      <c r="B102" s="1"/>
      <c r="C102" s="1"/>
      <c r="D102" s="1"/>
      <c r="E102" s="1"/>
    </row>
    <row r="103" spans="1:10">
      <c r="A103" s="1"/>
      <c r="B103" s="1"/>
      <c r="C103" s="1"/>
      <c r="D103" s="1"/>
      <c r="E103" s="1"/>
    </row>
    <row r="104" spans="1:10">
      <c r="A104" s="1"/>
      <c r="B104" s="1"/>
      <c r="C104" s="1"/>
      <c r="D104" s="1"/>
      <c r="E104" s="1"/>
    </row>
    <row r="105" spans="1:10">
      <c r="A105" s="1"/>
      <c r="B105" s="1"/>
      <c r="C105" s="1"/>
      <c r="D105" s="1"/>
      <c r="E105" s="1"/>
    </row>
    <row r="106" spans="1:10">
      <c r="A106" s="1"/>
      <c r="B106" s="1"/>
      <c r="C106" s="1"/>
      <c r="D106" s="1"/>
      <c r="E106" s="1"/>
    </row>
    <row r="107" spans="1:10">
      <c r="A107" s="1"/>
      <c r="B107" s="1"/>
      <c r="C107" s="1"/>
      <c r="D107" s="1"/>
      <c r="E107" s="1"/>
    </row>
    <row r="108" spans="1:10">
      <c r="A108" s="1"/>
      <c r="B108" s="1"/>
      <c r="C108" s="1"/>
      <c r="D108" s="1"/>
      <c r="E108" s="1"/>
    </row>
    <row r="109" spans="1:10">
      <c r="A109" s="1"/>
      <c r="B109" s="1"/>
      <c r="C109" s="1"/>
      <c r="D109" s="1"/>
      <c r="E109" s="1"/>
    </row>
    <row r="110" spans="1:10">
      <c r="A110" s="1"/>
      <c r="B110" s="1"/>
      <c r="C110" s="1"/>
      <c r="D110" s="1"/>
      <c r="E110" s="1"/>
    </row>
    <row r="111" spans="1:10">
      <c r="A111" s="1"/>
      <c r="B111" s="1"/>
      <c r="C111" s="1"/>
      <c r="D111" s="1"/>
      <c r="E111" s="1"/>
    </row>
    <row r="112" spans="1:10">
      <c r="A112" s="1"/>
      <c r="B112" s="1"/>
      <c r="C112" s="1"/>
      <c r="D112" s="1"/>
      <c r="E112" s="1"/>
    </row>
  </sheetData>
  <sheetProtection sheet="1" sort="0" autoFilter="0"/>
  <mergeCells count="4">
    <mergeCell ref="H2:J2"/>
    <mergeCell ref="E2:G2"/>
    <mergeCell ref="E1:H1"/>
    <mergeCell ref="E100:H100"/>
  </mergeCells>
  <phoneticPr fontId="6" type="noConversion"/>
  <conditionalFormatting sqref="E4:J99">
    <cfRule type="expression" dxfId="3" priority="4">
      <formula>COUNTIF(E4,"")</formula>
    </cfRule>
  </conditionalFormatting>
  <conditionalFormatting sqref="H4:H99">
    <cfRule type="expression" dxfId="2" priority="3" stopIfTrue="1">
      <formula>COUNTIF(H4,"")</formula>
    </cfRule>
    <cfRule type="cellIs" dxfId="1" priority="8" operator="between">
      <formula>0</formula>
      <formula>Post_PCR_target_DNA_conc</formula>
    </cfRule>
    <cfRule type="cellIs" dxfId="0" priority="20" operator="greaterThanOrEqual">
      <formula>Post_PCR_target_DNA_conc</formula>
    </cfRule>
  </conditionalFormatting>
  <dataValidations count="1">
    <dataValidation type="textLength" errorStyle="warning" operator="greaterThan" allowBlank="1" showErrorMessage="1" error="The Extraction ID cannot be left blank." prompt="Enter the Extraction ID" sqref="E4:F99" xr:uid="{51285661-A40B-4DE6-841D-9FB51A517C0E}">
      <formula1>0</formula1>
    </dataValidation>
  </dataValidations>
  <pageMargins left="0.23622047244094491" right="0.23622047244094491" top="0.74803149606299213" bottom="0.74803149606299213" header="0.31496062992125984" footer="0.31496062992125984"/>
  <pageSetup paperSize="9" scale="75" fitToHeight="0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operator="greaterThan" allowBlank="1" showErrorMessage="1" error="The Extraction ID cannot be left blank." prompt="Enter the Extraction ID" xr:uid="{8E0776D0-6EAB-4DDE-8153-1989A81E152C}">
          <x14:formula1>
            <xm:f>Reference!$E$26:$E$28</xm:f>
          </x14:formula1>
          <xm:sqref>G4:G99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1C5AB-6D4F-45E9-A9BD-10EA236BDB46}">
  <sheetPr codeName="Sheet3">
    <tabColor rgb="FF92D050"/>
  </sheetPr>
  <dimension ref="A1"/>
  <sheetViews>
    <sheetView workbookViewId="0">
      <selection activeCell="F41" sqref="F41"/>
    </sheetView>
  </sheetViews>
  <sheetFormatPr defaultRowHeight="15.6"/>
  <sheetData>
    <row r="1" spans="1:1">
      <c r="A1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822BC-EB65-47E0-AF90-9D941680FB8A}">
  <sheetPr codeName="Sheet5">
    <tabColor rgb="FFFFC000"/>
  </sheetPr>
  <dimension ref="A1:R121"/>
  <sheetViews>
    <sheetView tabSelected="1" workbookViewId="0">
      <selection activeCell="I13" sqref="I13"/>
    </sheetView>
  </sheetViews>
  <sheetFormatPr defaultRowHeight="15.6"/>
  <cols>
    <col min="1" max="1" width="34.19921875" customWidth="1"/>
    <col min="5" max="5" width="20" bestFit="1" customWidth="1"/>
    <col min="6" max="6" width="12.69921875" bestFit="1" customWidth="1"/>
    <col min="7" max="7" width="13" bestFit="1" customWidth="1"/>
    <col min="9" max="9" width="32.8984375" customWidth="1"/>
    <col min="10" max="10" width="10.8984375" customWidth="1"/>
  </cols>
  <sheetData>
    <row r="1" spans="1:9" ht="46.2">
      <c r="A1" s="25" t="s">
        <v>177</v>
      </c>
    </row>
    <row r="2" spans="1:9" ht="33.6">
      <c r="A2" s="59" t="s">
        <v>218</v>
      </c>
    </row>
    <row r="3" spans="1:9" ht="33.6">
      <c r="A3" s="59" t="s">
        <v>217</v>
      </c>
    </row>
    <row r="4" spans="1:9" ht="33.6">
      <c r="A4" s="59"/>
    </row>
    <row r="5" spans="1:9" ht="33.6">
      <c r="A5" s="60" t="s">
        <v>178</v>
      </c>
    </row>
    <row r="6" spans="1:9" ht="31.2">
      <c r="A6" s="26" t="s">
        <v>214</v>
      </c>
    </row>
    <row r="7" spans="1:9" ht="42" customHeight="1">
      <c r="A7" s="108" t="s">
        <v>230</v>
      </c>
    </row>
    <row r="8" spans="1:9" ht="33.6">
      <c r="A8" s="59" t="s">
        <v>216</v>
      </c>
    </row>
    <row r="9" spans="1:9" ht="23.4">
      <c r="A9" s="107" t="s">
        <v>228</v>
      </c>
    </row>
    <row r="10" spans="1:9" ht="23.4">
      <c r="A10" s="107" t="s">
        <v>229</v>
      </c>
    </row>
    <row r="11" spans="1:9" ht="23.4">
      <c r="A11" s="107" t="s">
        <v>231</v>
      </c>
    </row>
    <row r="12" spans="1:9" ht="33.6">
      <c r="A12" s="59"/>
    </row>
    <row r="13" spans="1:9" ht="137.4" customHeight="1">
      <c r="A13" s="59"/>
    </row>
    <row r="14" spans="1:9" ht="46.2">
      <c r="A14" s="25" t="s">
        <v>213</v>
      </c>
      <c r="I14" s="15"/>
    </row>
    <row r="15" spans="1:9" ht="18">
      <c r="A15" s="5" t="s">
        <v>0</v>
      </c>
      <c r="C15" s="4"/>
      <c r="D15" s="4"/>
      <c r="E15" s="5" t="s">
        <v>23</v>
      </c>
      <c r="F15" s="4"/>
    </row>
    <row r="16" spans="1:9" ht="16.2" thickBot="1">
      <c r="A16" s="17" t="s">
        <v>20</v>
      </c>
      <c r="B16" s="18"/>
      <c r="C16" s="18"/>
      <c r="E16" s="17" t="s">
        <v>180</v>
      </c>
      <c r="G16" s="17" t="s">
        <v>219</v>
      </c>
    </row>
    <row r="17" spans="1:18">
      <c r="A17" t="s">
        <v>211</v>
      </c>
      <c r="B17" s="28">
        <v>30</v>
      </c>
      <c r="C17" s="57" t="s">
        <v>210</v>
      </c>
      <c r="E17" t="s">
        <v>182</v>
      </c>
      <c r="G17" t="str">
        <f>E77</f>
        <v>NOMADS8</v>
      </c>
    </row>
    <row r="18" spans="1:18">
      <c r="D18" s="6"/>
      <c r="E18" t="s">
        <v>183</v>
      </c>
      <c r="G18" t="str">
        <f>E85</f>
        <v>NOMADS16</v>
      </c>
    </row>
    <row r="19" spans="1:18" ht="16.2" thickBot="1">
      <c r="A19" s="17" t="s">
        <v>155</v>
      </c>
      <c r="B19" s="18"/>
      <c r="C19" s="18"/>
      <c r="D19" s="6"/>
      <c r="G19" t="str">
        <f>E94</f>
        <v>NOMADS_MVP</v>
      </c>
    </row>
    <row r="20" spans="1:18" ht="16.2" thickBot="1">
      <c r="A20" s="2" t="s">
        <v>157</v>
      </c>
      <c r="B20" t="s">
        <v>21</v>
      </c>
      <c r="E20" s="17" t="s">
        <v>181</v>
      </c>
      <c r="G20" t="str">
        <f>E102</f>
        <v>Anoph IR</v>
      </c>
    </row>
    <row r="21" spans="1:18">
      <c r="A21" s="2" t="s">
        <v>156</v>
      </c>
      <c r="B21">
        <v>11</v>
      </c>
      <c r="E21" t="s">
        <v>184</v>
      </c>
      <c r="G21" t="str">
        <f>E110</f>
        <v>Anoph Speciation</v>
      </c>
    </row>
    <row r="22" spans="1:18">
      <c r="E22" t="s">
        <v>186</v>
      </c>
    </row>
    <row r="23" spans="1:18" ht="16.2" thickBot="1">
      <c r="A23" s="17" t="s">
        <v>173</v>
      </c>
      <c r="E23" t="s">
        <v>185</v>
      </c>
    </row>
    <row r="24" spans="1:18">
      <c r="A24" t="s">
        <v>226</v>
      </c>
    </row>
    <row r="25" spans="1:18" ht="16.2" thickBot="1">
      <c r="A25" s="2" t="s">
        <v>227</v>
      </c>
      <c r="E25" s="17" t="s">
        <v>191</v>
      </c>
    </row>
    <row r="26" spans="1:18">
      <c r="E26" t="s">
        <v>193</v>
      </c>
      <c r="Q26" s="4"/>
      <c r="R26" s="4"/>
    </row>
    <row r="27" spans="1:18">
      <c r="E27" t="s">
        <v>194</v>
      </c>
      <c r="O27" s="4"/>
      <c r="P27" s="4"/>
    </row>
    <row r="28" spans="1:18">
      <c r="E28" t="s">
        <v>195</v>
      </c>
    </row>
    <row r="30" spans="1:18" ht="16.2" thickBot="1">
      <c r="E30" s="17" t="s">
        <v>198</v>
      </c>
      <c r="F30" s="17"/>
    </row>
    <row r="31" spans="1:18">
      <c r="E31" s="36" t="s">
        <v>205</v>
      </c>
      <c r="F31" s="36">
        <f>IF(pcr_enzyme=$E$21,F39,IF(pcr_enzyme=$E$22,F49,IF(pcr_enzyme=$E$23,F59,"")))</f>
        <v>8</v>
      </c>
    </row>
    <row r="32" spans="1:18">
      <c r="E32" s="36" t="str">
        <f t="shared" ref="E32:F36" si="0">IF(pcr_enzyme=$E$21,E42,IF(pcr_enzyme=$E$22,E52,IF(pcr_enzyme=$E$23,E62,"")))</f>
        <v>KAPA HiFI ReadyMix (2x)</v>
      </c>
      <c r="F32" s="36">
        <f t="shared" si="0"/>
        <v>15.5</v>
      </c>
    </row>
    <row r="33" spans="5:7">
      <c r="E33" s="36" t="str">
        <f t="shared" si="0"/>
        <v>Primer pool (10 μM)</v>
      </c>
      <c r="F33" s="36">
        <f t="shared" si="0"/>
        <v>1.5</v>
      </c>
    </row>
    <row r="34" spans="5:7">
      <c r="E34" s="36" t="str">
        <f t="shared" si="0"/>
        <v>Water</v>
      </c>
      <c r="F34" s="36">
        <f t="shared" si="0"/>
        <v>0</v>
      </c>
    </row>
    <row r="35" spans="5:7">
      <c r="E35" s="36" t="str">
        <f t="shared" si="0"/>
        <v>-</v>
      </c>
      <c r="F35" s="36">
        <f t="shared" si="0"/>
        <v>0</v>
      </c>
    </row>
    <row r="36" spans="5:7">
      <c r="E36" s="36" t="str">
        <f t="shared" si="0"/>
        <v>-</v>
      </c>
      <c r="F36" s="36">
        <f t="shared" si="0"/>
        <v>0</v>
      </c>
    </row>
    <row r="38" spans="5:7" ht="16.2" thickBot="1">
      <c r="E38" s="17" t="s">
        <v>184</v>
      </c>
      <c r="F38" s="17"/>
    </row>
    <row r="39" spans="5:7">
      <c r="E39" t="s">
        <v>205</v>
      </c>
      <c r="F39">
        <v>8</v>
      </c>
    </row>
    <row r="40" spans="5:7">
      <c r="E40" t="s">
        <v>206</v>
      </c>
      <c r="F40">
        <f>SUM(F42:F45)</f>
        <v>7.55</v>
      </c>
    </row>
    <row r="41" spans="5:7">
      <c r="E41" t="s">
        <v>207</v>
      </c>
      <c r="F41">
        <v>25</v>
      </c>
    </row>
    <row r="42" spans="5:7">
      <c r="E42" t="s">
        <v>184</v>
      </c>
      <c r="F42">
        <v>0.3</v>
      </c>
    </row>
    <row r="43" spans="5:7">
      <c r="E43" t="s">
        <v>179</v>
      </c>
      <c r="F43">
        <v>0.75</v>
      </c>
    </row>
    <row r="44" spans="5:7">
      <c r="E44" t="s">
        <v>176</v>
      </c>
      <c r="F44">
        <v>5</v>
      </c>
    </row>
    <row r="45" spans="5:7">
      <c r="E45" t="s">
        <v>10</v>
      </c>
      <c r="F45">
        <v>1.5</v>
      </c>
    </row>
    <row r="46" spans="5:7">
      <c r="E46" t="s">
        <v>11</v>
      </c>
      <c r="F46" s="56">
        <f>SUM(F41-F40-template_vol)</f>
        <v>9.4499999999999993</v>
      </c>
      <c r="G46" s="56"/>
    </row>
    <row r="48" spans="5:7" ht="16.2" thickBot="1">
      <c r="E48" s="17" t="s">
        <v>187</v>
      </c>
      <c r="F48" s="17"/>
    </row>
    <row r="49" spans="5:6">
      <c r="E49" t="s">
        <v>205</v>
      </c>
      <c r="F49">
        <v>8</v>
      </c>
    </row>
    <row r="50" spans="5:6">
      <c r="E50" t="s">
        <v>206</v>
      </c>
      <c r="F50">
        <f>SUM(F52:F53)</f>
        <v>17</v>
      </c>
    </row>
    <row r="51" spans="5:6">
      <c r="E51" t="s">
        <v>207</v>
      </c>
      <c r="F51">
        <v>25</v>
      </c>
    </row>
    <row r="52" spans="5:6">
      <c r="E52" t="s">
        <v>199</v>
      </c>
      <c r="F52">
        <v>15.5</v>
      </c>
    </row>
    <row r="53" spans="5:6">
      <c r="E53" t="s">
        <v>10</v>
      </c>
      <c r="F53">
        <v>1.5</v>
      </c>
    </row>
    <row r="54" spans="5:6">
      <c r="E54" t="s">
        <v>11</v>
      </c>
      <c r="F54" s="56">
        <f>SUM(F51-F50-template_vol)</f>
        <v>0</v>
      </c>
    </row>
    <row r="55" spans="5:6">
      <c r="E55" t="s">
        <v>7</v>
      </c>
    </row>
    <row r="56" spans="5:6">
      <c r="E56" t="s">
        <v>7</v>
      </c>
    </row>
    <row r="58" spans="5:6" ht="16.2" thickBot="1">
      <c r="E58" s="17" t="s">
        <v>185</v>
      </c>
      <c r="F58" s="17"/>
    </row>
    <row r="59" spans="5:6">
      <c r="E59" t="s">
        <v>205</v>
      </c>
      <c r="F59">
        <v>8</v>
      </c>
    </row>
    <row r="60" spans="5:6">
      <c r="E60" t="s">
        <v>206</v>
      </c>
      <c r="F60">
        <f>SUM(F62:F63)</f>
        <v>17</v>
      </c>
    </row>
    <row r="61" spans="5:6">
      <c r="E61" t="s">
        <v>207</v>
      </c>
      <c r="F61">
        <v>25</v>
      </c>
    </row>
    <row r="62" spans="5:6">
      <c r="E62" t="s">
        <v>175</v>
      </c>
      <c r="F62">
        <v>14.5</v>
      </c>
    </row>
    <row r="63" spans="5:6">
      <c r="E63" t="s">
        <v>10</v>
      </c>
      <c r="F63">
        <v>2.5</v>
      </c>
    </row>
    <row r="64" spans="5:6">
      <c r="E64" t="s">
        <v>11</v>
      </c>
      <c r="F64">
        <f>SUM(F61-F60-template_vol)</f>
        <v>0</v>
      </c>
    </row>
    <row r="65" spans="5:7">
      <c r="E65" t="s">
        <v>7</v>
      </c>
    </row>
    <row r="66" spans="5:7">
      <c r="E66" t="s">
        <v>7</v>
      </c>
    </row>
    <row r="68" spans="5:7" ht="16.2" thickBot="1">
      <c r="E68" s="17" t="s">
        <v>197</v>
      </c>
      <c r="F68" s="17"/>
      <c r="G68" s="17"/>
    </row>
    <row r="69" spans="5:7">
      <c r="E69" s="36">
        <f t="shared" ref="E69:G75" si="1">IF(exp_assay=$E$77,E78,IF(exp_assay=$E$85,E86,IF(exp_assay=$E$94,E95,IF(exp_assay=$E$102,E103,IF(exp_assay=$E$110,E111,"")))))</f>
        <v>95</v>
      </c>
      <c r="F69" s="36" t="str">
        <f t="shared" si="1"/>
        <v>∞</v>
      </c>
      <c r="G69" s="36">
        <f t="shared" si="1"/>
        <v>0</v>
      </c>
    </row>
    <row r="70" spans="5:7">
      <c r="E70" s="36">
        <f t="shared" si="1"/>
        <v>95</v>
      </c>
      <c r="F70" s="36" t="str">
        <f t="shared" si="1"/>
        <v>3 min</v>
      </c>
      <c r="G70" s="36">
        <f t="shared" si="1"/>
        <v>0</v>
      </c>
    </row>
    <row r="71" spans="5:7">
      <c r="E71" s="36">
        <f t="shared" si="1"/>
        <v>98</v>
      </c>
      <c r="F71" s="36" t="str">
        <f t="shared" si="1"/>
        <v>20 sec</v>
      </c>
      <c r="G71" s="36" t="str">
        <f t="shared" si="1"/>
        <v>x35</v>
      </c>
    </row>
    <row r="72" spans="5:7">
      <c r="E72" s="36">
        <f t="shared" si="1"/>
        <v>60</v>
      </c>
      <c r="F72" s="36" t="str">
        <f t="shared" si="1"/>
        <v>3 min</v>
      </c>
      <c r="G72" s="36" t="str">
        <f t="shared" si="1"/>
        <v>x35</v>
      </c>
    </row>
    <row r="73" spans="5:7">
      <c r="E73" s="36">
        <f t="shared" si="1"/>
        <v>60</v>
      </c>
      <c r="F73" s="36" t="str">
        <f t="shared" si="1"/>
        <v>10 min</v>
      </c>
      <c r="G73" s="36">
        <f t="shared" si="1"/>
        <v>0</v>
      </c>
    </row>
    <row r="74" spans="5:7">
      <c r="E74" s="36">
        <f t="shared" si="1"/>
        <v>8</v>
      </c>
      <c r="F74" s="36" t="str">
        <f t="shared" si="1"/>
        <v>∞</v>
      </c>
      <c r="G74" s="36">
        <f t="shared" si="1"/>
        <v>0</v>
      </c>
    </row>
    <row r="75" spans="5:7">
      <c r="E75" s="36">
        <f t="shared" si="1"/>
        <v>0</v>
      </c>
      <c r="F75" s="36">
        <f t="shared" si="1"/>
        <v>0</v>
      </c>
      <c r="G75" s="36">
        <f t="shared" si="1"/>
        <v>0</v>
      </c>
    </row>
    <row r="77" spans="5:7" ht="16.2" thickBot="1">
      <c r="E77" s="17" t="s">
        <v>137</v>
      </c>
      <c r="F77" s="17"/>
      <c r="G77" s="17"/>
    </row>
    <row r="78" spans="5:7">
      <c r="E78">
        <v>93</v>
      </c>
      <c r="F78" s="37" t="s">
        <v>200</v>
      </c>
      <c r="G78" s="37"/>
    </row>
    <row r="79" spans="5:7">
      <c r="E79">
        <v>93</v>
      </c>
      <c r="F79" t="s">
        <v>13</v>
      </c>
    </row>
    <row r="80" spans="5:7">
      <c r="E80">
        <v>98</v>
      </c>
      <c r="F80" t="s">
        <v>14</v>
      </c>
      <c r="G80" t="s">
        <v>9</v>
      </c>
    </row>
    <row r="81" spans="5:7">
      <c r="E81">
        <v>50</v>
      </c>
      <c r="F81" t="s">
        <v>15</v>
      </c>
      <c r="G81" t="s">
        <v>9</v>
      </c>
    </row>
    <row r="82" spans="5:7">
      <c r="E82">
        <v>60</v>
      </c>
      <c r="F82" t="s">
        <v>16</v>
      </c>
      <c r="G82" t="s">
        <v>9</v>
      </c>
    </row>
    <row r="83" spans="5:7">
      <c r="E83">
        <v>60</v>
      </c>
      <c r="F83" t="s">
        <v>17</v>
      </c>
    </row>
    <row r="84" spans="5:7">
      <c r="E84">
        <v>8</v>
      </c>
      <c r="F84" s="37" t="s">
        <v>200</v>
      </c>
    </row>
    <row r="85" spans="5:7" ht="16.2" thickBot="1">
      <c r="E85" s="17" t="s">
        <v>138</v>
      </c>
      <c r="F85" s="17"/>
      <c r="G85" s="17"/>
    </row>
    <row r="86" spans="5:7">
      <c r="E86">
        <v>93</v>
      </c>
      <c r="F86" s="37" t="s">
        <v>200</v>
      </c>
      <c r="G86" s="37"/>
    </row>
    <row r="87" spans="5:7">
      <c r="E87">
        <v>93</v>
      </c>
      <c r="F87" t="s">
        <v>13</v>
      </c>
    </row>
    <row r="88" spans="5:7">
      <c r="E88">
        <v>98</v>
      </c>
      <c r="F88" t="s">
        <v>14</v>
      </c>
      <c r="G88" t="s">
        <v>9</v>
      </c>
    </row>
    <row r="89" spans="5:7">
      <c r="E89">
        <v>50</v>
      </c>
      <c r="F89" t="s">
        <v>15</v>
      </c>
      <c r="G89" t="s">
        <v>9</v>
      </c>
    </row>
    <row r="90" spans="5:7">
      <c r="E90">
        <v>60</v>
      </c>
      <c r="F90" t="s">
        <v>16</v>
      </c>
      <c r="G90" t="s">
        <v>9</v>
      </c>
    </row>
    <row r="91" spans="5:7">
      <c r="E91">
        <v>60</v>
      </c>
      <c r="F91" t="s">
        <v>17</v>
      </c>
    </row>
    <row r="92" spans="5:7">
      <c r="E92">
        <v>8</v>
      </c>
      <c r="F92" s="37" t="s">
        <v>200</v>
      </c>
    </row>
    <row r="93" spans="5:7">
      <c r="F93" s="37"/>
    </row>
    <row r="94" spans="5:7" ht="16.2" thickBot="1">
      <c r="E94" s="17" t="s">
        <v>171</v>
      </c>
      <c r="F94" s="17"/>
      <c r="G94" s="17"/>
    </row>
    <row r="95" spans="5:7">
      <c r="E95">
        <v>95</v>
      </c>
      <c r="F95" s="37" t="s">
        <v>200</v>
      </c>
    </row>
    <row r="96" spans="5:7">
      <c r="E96">
        <v>95</v>
      </c>
      <c r="F96" t="s">
        <v>13</v>
      </c>
    </row>
    <row r="97" spans="5:7">
      <c r="E97">
        <v>98</v>
      </c>
      <c r="F97" t="s">
        <v>14</v>
      </c>
      <c r="G97" t="s">
        <v>196</v>
      </c>
    </row>
    <row r="98" spans="5:7">
      <c r="E98">
        <v>60</v>
      </c>
      <c r="F98" t="s">
        <v>13</v>
      </c>
      <c r="G98" t="s">
        <v>196</v>
      </c>
    </row>
    <row r="99" spans="5:7">
      <c r="E99">
        <v>60</v>
      </c>
      <c r="F99" t="s">
        <v>17</v>
      </c>
    </row>
    <row r="100" spans="5:7">
      <c r="E100">
        <v>8</v>
      </c>
      <c r="F100" s="37" t="s">
        <v>200</v>
      </c>
    </row>
    <row r="101" spans="5:7">
      <c r="F101" s="37"/>
    </row>
    <row r="102" spans="5:7" ht="16.2" thickBot="1">
      <c r="E102" s="17" t="s">
        <v>189</v>
      </c>
      <c r="F102" s="17"/>
      <c r="G102" s="17"/>
    </row>
    <row r="103" spans="5:7">
      <c r="E103">
        <v>93</v>
      </c>
      <c r="F103" s="37" t="s">
        <v>200</v>
      </c>
      <c r="G103" s="37"/>
    </row>
    <row r="104" spans="5:7">
      <c r="E104">
        <v>93</v>
      </c>
      <c r="F104" t="s">
        <v>13</v>
      </c>
    </row>
    <row r="105" spans="5:7">
      <c r="E105">
        <v>98</v>
      </c>
      <c r="F105" t="s">
        <v>14</v>
      </c>
      <c r="G105" t="s">
        <v>9</v>
      </c>
    </row>
    <row r="106" spans="5:7">
      <c r="E106">
        <v>50</v>
      </c>
      <c r="F106" t="s">
        <v>15</v>
      </c>
      <c r="G106" t="s">
        <v>9</v>
      </c>
    </row>
    <row r="107" spans="5:7">
      <c r="E107">
        <v>60</v>
      </c>
      <c r="F107" t="s">
        <v>16</v>
      </c>
      <c r="G107" t="s">
        <v>9</v>
      </c>
    </row>
    <row r="108" spans="5:7">
      <c r="E108">
        <v>60</v>
      </c>
      <c r="F108" t="s">
        <v>17</v>
      </c>
    </row>
    <row r="109" spans="5:7">
      <c r="E109">
        <v>8</v>
      </c>
      <c r="F109" s="37" t="s">
        <v>200</v>
      </c>
    </row>
    <row r="110" spans="5:7" ht="16.2" thickBot="1">
      <c r="E110" s="17" t="s">
        <v>190</v>
      </c>
      <c r="F110" s="17"/>
      <c r="G110" s="17"/>
    </row>
    <row r="111" spans="5:7">
      <c r="E111">
        <v>93</v>
      </c>
      <c r="F111" s="37" t="s">
        <v>200</v>
      </c>
      <c r="G111" s="37"/>
    </row>
    <row r="112" spans="5:7">
      <c r="E112">
        <v>93</v>
      </c>
      <c r="F112" t="s">
        <v>13</v>
      </c>
    </row>
    <row r="113" spans="5:7">
      <c r="E113">
        <v>98</v>
      </c>
      <c r="F113" t="s">
        <v>14</v>
      </c>
      <c r="G113" t="s">
        <v>9</v>
      </c>
    </row>
    <row r="114" spans="5:7">
      <c r="E114">
        <v>50</v>
      </c>
      <c r="F114" t="s">
        <v>15</v>
      </c>
      <c r="G114" t="s">
        <v>9</v>
      </c>
    </row>
    <row r="115" spans="5:7">
      <c r="E115">
        <v>60</v>
      </c>
      <c r="F115" t="s">
        <v>16</v>
      </c>
      <c r="G115" t="s">
        <v>9</v>
      </c>
    </row>
    <row r="116" spans="5:7">
      <c r="E116">
        <v>60</v>
      </c>
      <c r="F116" t="s">
        <v>17</v>
      </c>
    </row>
    <row r="117" spans="5:7">
      <c r="E117">
        <v>8</v>
      </c>
      <c r="F117" s="37" t="s">
        <v>200</v>
      </c>
    </row>
    <row r="119" spans="5:7" ht="16.2" thickBot="1">
      <c r="E119" s="17" t="s">
        <v>202</v>
      </c>
    </row>
    <row r="120" spans="5:7">
      <c r="E120" t="s">
        <v>3</v>
      </c>
    </row>
    <row r="121" spans="5:7">
      <c r="E121" t="s">
        <v>19</v>
      </c>
    </row>
  </sheetData>
  <phoneticPr fontId="6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365F5-1D7C-4412-B86A-5DAB745F33C0}">
  <sheetPr codeName="Sheet6">
    <tabColor rgb="FFFF0000"/>
  </sheetPr>
  <dimension ref="A1:K2"/>
  <sheetViews>
    <sheetView workbookViewId="0">
      <selection activeCell="D1" sqref="D1"/>
    </sheetView>
  </sheetViews>
  <sheetFormatPr defaultRowHeight="15.6"/>
  <cols>
    <col min="1" max="1" width="9.09765625" customWidth="1"/>
    <col min="2" max="2" width="11.3984375" customWidth="1"/>
    <col min="3" max="7" width="12.09765625" customWidth="1"/>
    <col min="8" max="8" width="31.59765625" customWidth="1"/>
    <col min="9" max="10" width="12.09765625" customWidth="1"/>
    <col min="11" max="11" width="16.69921875" bestFit="1" customWidth="1"/>
  </cols>
  <sheetData>
    <row r="1" spans="1:11">
      <c r="A1" t="s">
        <v>152</v>
      </c>
      <c r="B1" t="s">
        <v>153</v>
      </c>
      <c r="C1" t="s">
        <v>154</v>
      </c>
      <c r="D1" t="s">
        <v>159</v>
      </c>
      <c r="E1" t="s">
        <v>158</v>
      </c>
      <c r="F1" t="s">
        <v>162</v>
      </c>
      <c r="G1" t="s">
        <v>165</v>
      </c>
      <c r="H1" t="s">
        <v>167</v>
      </c>
      <c r="I1" t="s">
        <v>168</v>
      </c>
      <c r="J1" t="s">
        <v>212</v>
      </c>
      <c r="K1" t="s">
        <v>172</v>
      </c>
    </row>
    <row r="2" spans="1:11">
      <c r="A2" t="str">
        <f>IF(LEN(exp_id)=0,"",exp_id)</f>
        <v/>
      </c>
      <c r="B2" t="str">
        <f>IF(LEN(exp_date)=0,"",exp_date)</f>
        <v/>
      </c>
      <c r="C2" t="str">
        <f>IF(LEN(user_name)=0,"",user_name)</f>
        <v/>
      </c>
      <c r="D2" t="str">
        <f>IF(LEN(exp_type)=0,"",exp_type)</f>
        <v>PCR</v>
      </c>
      <c r="E2">
        <f>IF(LEN(exp_version)=0,"",exp_version)</f>
        <v>11</v>
      </c>
      <c r="F2" t="str">
        <f>IF(LEN(exp_assay)=0,"",exp_assay)</f>
        <v>NOMADS_MVP</v>
      </c>
      <c r="G2" t="str">
        <f>IF(LEN(exp_notes)=0,"",exp_notes)</f>
        <v/>
      </c>
      <c r="H2" t="str">
        <f>IF(LEN(exp_summary)=0,"",exp_summary)</f>
        <v/>
      </c>
      <c r="I2">
        <f>IF(LEN(exp_rxns)=0,"",exp_rxns)</f>
        <v>0</v>
      </c>
      <c r="J2">
        <f>IF(LEN(template_vol)=0,"",template_vol)</f>
        <v>8</v>
      </c>
      <c r="K2" t="str">
        <f>IF(pcr_enzyme=0,"",pcr_enzyme)</f>
        <v>KAPA HiFi ReadyMix</v>
      </c>
    </row>
  </sheetData>
  <sheetProtection algorithmName="SHA-512" hashValue="8zOUy785O3J20Pmuul4LQNVuEBK9DpOC9KfStHBSFKpfDWb7Ce6VOTc9I3jfSx4fW+QKGhXWX86YuX9tdjCTzQ==" saltValue="P6Yhr7+N/XjPPTpv+CCI+w==" spinCount="100000" sheet="1" selectLockedCells="1" selectUnlockedCells="1"/>
  <phoneticPr fontId="6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8E960-52E4-4AD5-BF9A-214863E61A87}">
  <sheetPr codeName="Sheet7">
    <tabColor rgb="FFFF0000"/>
  </sheetPr>
  <dimension ref="A1:D97"/>
  <sheetViews>
    <sheetView workbookViewId="0">
      <selection activeCell="D1" sqref="D1"/>
    </sheetView>
  </sheetViews>
  <sheetFormatPr defaultRowHeight="15.6"/>
  <cols>
    <col min="1" max="1" width="11.19921875" customWidth="1"/>
    <col min="2" max="3" width="13.69921875" customWidth="1"/>
    <col min="4" max="4" width="33.8984375" customWidth="1"/>
  </cols>
  <sheetData>
    <row r="1" spans="1:4">
      <c r="A1" t="s">
        <v>160</v>
      </c>
      <c r="B1" t="s">
        <v>161</v>
      </c>
      <c r="C1" t="s">
        <v>192</v>
      </c>
      <c r="D1" t="s">
        <v>163</v>
      </c>
    </row>
    <row r="2" spans="1:4">
      <c r="A2" t="str">
        <f>IF(LEN(PCR!E4),PCR!E4,"")</f>
        <v/>
      </c>
      <c r="B2" t="str">
        <f>IF(LEN(PCR!F4),PCR!F4,"")</f>
        <v/>
      </c>
      <c r="C2" t="str">
        <f>IF(LEN(PCR!G4),PCR!G4,"")</f>
        <v/>
      </c>
      <c r="D2" t="str">
        <f>PCR!H4</f>
        <v/>
      </c>
    </row>
    <row r="3" spans="1:4">
      <c r="A3" t="str">
        <f>IF(LEN(PCR!E5),PCR!E5,"")</f>
        <v/>
      </c>
      <c r="B3" t="str">
        <f>IF(LEN(PCR!F5),PCR!F5,"")</f>
        <v/>
      </c>
      <c r="C3" t="str">
        <f>IF(LEN(PCR!G5),PCR!G5,"")</f>
        <v/>
      </c>
      <c r="D3" t="str">
        <f>PCR!H5</f>
        <v/>
      </c>
    </row>
    <row r="4" spans="1:4">
      <c r="A4" t="str">
        <f>IF(LEN(PCR!E6),PCR!E6,"")</f>
        <v/>
      </c>
      <c r="B4" t="str">
        <f>IF(LEN(PCR!F6),PCR!F6,"")</f>
        <v/>
      </c>
      <c r="C4" t="str">
        <f>IF(LEN(PCR!G6),PCR!G6,"")</f>
        <v/>
      </c>
      <c r="D4" t="str">
        <f>PCR!H6</f>
        <v/>
      </c>
    </row>
    <row r="5" spans="1:4">
      <c r="A5" t="str">
        <f>IF(LEN(PCR!E7),PCR!E7,"")</f>
        <v/>
      </c>
      <c r="B5" t="str">
        <f>IF(LEN(PCR!F7),PCR!F7,"")</f>
        <v/>
      </c>
      <c r="C5" t="str">
        <f>IF(LEN(PCR!G7),PCR!G7,"")</f>
        <v/>
      </c>
      <c r="D5" t="str">
        <f>PCR!H7</f>
        <v/>
      </c>
    </row>
    <row r="6" spans="1:4">
      <c r="A6" t="str">
        <f>IF(LEN(PCR!E8),PCR!E8,"")</f>
        <v/>
      </c>
      <c r="B6" t="str">
        <f>IF(LEN(PCR!F8),PCR!F8,"")</f>
        <v/>
      </c>
      <c r="C6" t="str">
        <f>IF(LEN(PCR!G8),PCR!G8,"")</f>
        <v/>
      </c>
      <c r="D6" t="str">
        <f>PCR!H8</f>
        <v/>
      </c>
    </row>
    <row r="7" spans="1:4">
      <c r="A7" t="str">
        <f>IF(LEN(PCR!E9),PCR!E9,"")</f>
        <v/>
      </c>
      <c r="B7" t="str">
        <f>IF(LEN(PCR!F9),PCR!F9,"")</f>
        <v/>
      </c>
      <c r="C7" t="str">
        <f>IF(LEN(PCR!G9),PCR!G9,"")</f>
        <v/>
      </c>
      <c r="D7" t="str">
        <f>PCR!H9</f>
        <v/>
      </c>
    </row>
    <row r="8" spans="1:4">
      <c r="A8" t="str">
        <f>IF(LEN(PCR!E10),PCR!E10,"")</f>
        <v/>
      </c>
      <c r="B8" t="str">
        <f>IF(LEN(PCR!F10),PCR!F10,"")</f>
        <v/>
      </c>
      <c r="C8" t="str">
        <f>IF(LEN(PCR!G10),PCR!G10,"")</f>
        <v/>
      </c>
      <c r="D8" t="str">
        <f>PCR!H10</f>
        <v/>
      </c>
    </row>
    <row r="9" spans="1:4">
      <c r="A9" t="str">
        <f>IF(LEN(PCR!E11),PCR!E11,"")</f>
        <v/>
      </c>
      <c r="B9" t="str">
        <f>IF(LEN(PCR!F11),PCR!F11,"")</f>
        <v/>
      </c>
      <c r="C9" t="str">
        <f>IF(LEN(PCR!G11),PCR!G11,"")</f>
        <v/>
      </c>
      <c r="D9" t="str">
        <f>PCR!H11</f>
        <v/>
      </c>
    </row>
    <row r="10" spans="1:4">
      <c r="A10" t="str">
        <f>IF(LEN(PCR!E12),PCR!E12,"")</f>
        <v/>
      </c>
      <c r="B10" t="str">
        <f>IF(LEN(PCR!F12),PCR!F12,"")</f>
        <v/>
      </c>
      <c r="C10" t="str">
        <f>IF(LEN(PCR!G12),PCR!G12,"")</f>
        <v/>
      </c>
      <c r="D10" t="str">
        <f>PCR!H12</f>
        <v/>
      </c>
    </row>
    <row r="11" spans="1:4">
      <c r="A11" t="str">
        <f>IF(LEN(PCR!E13),PCR!E13,"")</f>
        <v/>
      </c>
      <c r="B11" t="str">
        <f>IF(LEN(PCR!F13),PCR!F13,"")</f>
        <v/>
      </c>
      <c r="C11" t="str">
        <f>IF(LEN(PCR!G13),PCR!G13,"")</f>
        <v/>
      </c>
      <c r="D11" t="str">
        <f>PCR!H13</f>
        <v/>
      </c>
    </row>
    <row r="12" spans="1:4">
      <c r="A12" t="str">
        <f>IF(LEN(PCR!E14),PCR!E14,"")</f>
        <v/>
      </c>
      <c r="B12" t="str">
        <f>IF(LEN(PCR!F14),PCR!F14,"")</f>
        <v/>
      </c>
      <c r="C12" t="str">
        <f>IF(LEN(PCR!G14),PCR!G14,"")</f>
        <v/>
      </c>
      <c r="D12" t="str">
        <f>PCR!H14</f>
        <v/>
      </c>
    </row>
    <row r="13" spans="1:4">
      <c r="A13" t="str">
        <f>IF(LEN(PCR!E15),PCR!E15,"")</f>
        <v/>
      </c>
      <c r="B13" t="str">
        <f>IF(LEN(PCR!F15),PCR!F15,"")</f>
        <v/>
      </c>
      <c r="C13" t="str">
        <f>IF(LEN(PCR!G15),PCR!G15,"")</f>
        <v/>
      </c>
      <c r="D13" t="str">
        <f>PCR!H15</f>
        <v/>
      </c>
    </row>
    <row r="14" spans="1:4">
      <c r="A14" t="str">
        <f>IF(LEN(PCR!E16),PCR!E16,"")</f>
        <v/>
      </c>
      <c r="B14" t="str">
        <f>IF(LEN(PCR!F16),PCR!F16,"")</f>
        <v/>
      </c>
      <c r="C14" t="str">
        <f>IF(LEN(PCR!G16),PCR!G16,"")</f>
        <v/>
      </c>
      <c r="D14" t="str">
        <f>PCR!H16</f>
        <v/>
      </c>
    </row>
    <row r="15" spans="1:4">
      <c r="A15" t="str">
        <f>IF(LEN(PCR!E17),PCR!E17,"")</f>
        <v/>
      </c>
      <c r="B15" t="str">
        <f>IF(LEN(PCR!F17),PCR!F17,"")</f>
        <v/>
      </c>
      <c r="C15" t="str">
        <f>IF(LEN(PCR!G17),PCR!G17,"")</f>
        <v/>
      </c>
      <c r="D15" t="str">
        <f>PCR!H17</f>
        <v/>
      </c>
    </row>
    <row r="16" spans="1:4">
      <c r="A16" t="str">
        <f>IF(LEN(PCR!E18),PCR!E18,"")</f>
        <v/>
      </c>
      <c r="B16" t="str">
        <f>IF(LEN(PCR!F18),PCR!F18,"")</f>
        <v/>
      </c>
      <c r="C16" t="str">
        <f>IF(LEN(PCR!G18),PCR!G18,"")</f>
        <v/>
      </c>
      <c r="D16" t="str">
        <f>PCR!H18</f>
        <v/>
      </c>
    </row>
    <row r="17" spans="1:4">
      <c r="A17" t="str">
        <f>IF(LEN(PCR!E19),PCR!E19,"")</f>
        <v/>
      </c>
      <c r="B17" t="str">
        <f>IF(LEN(PCR!F19),PCR!F19,"")</f>
        <v/>
      </c>
      <c r="C17" t="str">
        <f>IF(LEN(PCR!G19),PCR!G19,"")</f>
        <v/>
      </c>
      <c r="D17" t="str">
        <f>PCR!H19</f>
        <v/>
      </c>
    </row>
    <row r="18" spans="1:4">
      <c r="A18" t="str">
        <f>IF(LEN(PCR!E20),PCR!E20,"")</f>
        <v/>
      </c>
      <c r="B18" t="str">
        <f>IF(LEN(PCR!F20),PCR!F20,"")</f>
        <v/>
      </c>
      <c r="C18" t="str">
        <f>IF(LEN(PCR!G20),PCR!G20,"")</f>
        <v/>
      </c>
      <c r="D18" t="str">
        <f>PCR!H20</f>
        <v/>
      </c>
    </row>
    <row r="19" spans="1:4">
      <c r="A19" t="str">
        <f>IF(LEN(PCR!E21),PCR!E21,"")</f>
        <v/>
      </c>
      <c r="B19" t="str">
        <f>IF(LEN(PCR!F21),PCR!F21,"")</f>
        <v/>
      </c>
      <c r="C19" t="str">
        <f>IF(LEN(PCR!G21),PCR!G21,"")</f>
        <v/>
      </c>
      <c r="D19" t="str">
        <f>PCR!H21</f>
        <v/>
      </c>
    </row>
    <row r="20" spans="1:4">
      <c r="A20" t="str">
        <f>IF(LEN(PCR!E22),PCR!E22,"")</f>
        <v/>
      </c>
      <c r="B20" t="str">
        <f>IF(LEN(PCR!F22),PCR!F22,"")</f>
        <v/>
      </c>
      <c r="C20" t="str">
        <f>IF(LEN(PCR!G22),PCR!G22,"")</f>
        <v/>
      </c>
      <c r="D20" t="str">
        <f>PCR!H22</f>
        <v/>
      </c>
    </row>
    <row r="21" spans="1:4">
      <c r="A21" t="str">
        <f>IF(LEN(PCR!E23),PCR!E23,"")</f>
        <v/>
      </c>
      <c r="B21" t="str">
        <f>IF(LEN(PCR!F23),PCR!F23,"")</f>
        <v/>
      </c>
      <c r="C21" t="str">
        <f>IF(LEN(PCR!G23),PCR!G23,"")</f>
        <v/>
      </c>
      <c r="D21" t="str">
        <f>PCR!H23</f>
        <v/>
      </c>
    </row>
    <row r="22" spans="1:4">
      <c r="A22" t="str">
        <f>IF(LEN(PCR!E24),PCR!E24,"")</f>
        <v/>
      </c>
      <c r="B22" t="str">
        <f>IF(LEN(PCR!F24),PCR!F24,"")</f>
        <v/>
      </c>
      <c r="C22" t="str">
        <f>IF(LEN(PCR!G24),PCR!G24,"")</f>
        <v/>
      </c>
      <c r="D22" t="str">
        <f>PCR!H24</f>
        <v/>
      </c>
    </row>
    <row r="23" spans="1:4">
      <c r="A23" t="str">
        <f>IF(LEN(PCR!E25),PCR!E25,"")</f>
        <v/>
      </c>
      <c r="B23" t="str">
        <f>IF(LEN(PCR!F25),PCR!F25,"")</f>
        <v/>
      </c>
      <c r="C23" t="str">
        <f>IF(LEN(PCR!G25),PCR!G25,"")</f>
        <v/>
      </c>
      <c r="D23" t="str">
        <f>PCR!H25</f>
        <v/>
      </c>
    </row>
    <row r="24" spans="1:4">
      <c r="A24" t="str">
        <f>IF(LEN(PCR!E26),PCR!E26,"")</f>
        <v/>
      </c>
      <c r="B24" t="str">
        <f>IF(LEN(PCR!F26),PCR!F26,"")</f>
        <v/>
      </c>
      <c r="C24" t="str">
        <f>IF(LEN(PCR!G26),PCR!G26,"")</f>
        <v/>
      </c>
      <c r="D24" t="str">
        <f>PCR!H26</f>
        <v/>
      </c>
    </row>
    <row r="25" spans="1:4">
      <c r="A25" t="str">
        <f>IF(LEN(PCR!E27),PCR!E27,"")</f>
        <v/>
      </c>
      <c r="B25" t="str">
        <f>IF(LEN(PCR!F27),PCR!F27,"")</f>
        <v/>
      </c>
      <c r="C25" t="str">
        <f>IF(LEN(PCR!G27),PCR!G27,"")</f>
        <v/>
      </c>
      <c r="D25" t="str">
        <f>PCR!H27</f>
        <v/>
      </c>
    </row>
    <row r="26" spans="1:4">
      <c r="A26" t="str">
        <f>IF(LEN(PCR!E28),PCR!E28,"")</f>
        <v/>
      </c>
      <c r="B26" t="str">
        <f>IF(LEN(PCR!F28),PCR!F28,"")</f>
        <v/>
      </c>
      <c r="C26" t="str">
        <f>IF(LEN(PCR!G28),PCR!G28,"")</f>
        <v/>
      </c>
      <c r="D26" t="str">
        <f>PCR!H28</f>
        <v/>
      </c>
    </row>
    <row r="27" spans="1:4">
      <c r="A27" t="str">
        <f>IF(LEN(PCR!E29),PCR!E29,"")</f>
        <v/>
      </c>
      <c r="B27" t="str">
        <f>IF(LEN(PCR!F29),PCR!F29,"")</f>
        <v/>
      </c>
      <c r="C27" t="str">
        <f>IF(LEN(PCR!G29),PCR!G29,"")</f>
        <v/>
      </c>
      <c r="D27" t="str">
        <f>PCR!H29</f>
        <v/>
      </c>
    </row>
    <row r="28" spans="1:4">
      <c r="A28" t="str">
        <f>IF(LEN(PCR!E30),PCR!E30,"")</f>
        <v/>
      </c>
      <c r="B28" t="str">
        <f>IF(LEN(PCR!F30),PCR!F30,"")</f>
        <v/>
      </c>
      <c r="C28" t="str">
        <f>IF(LEN(PCR!G30),PCR!G30,"")</f>
        <v/>
      </c>
      <c r="D28" t="str">
        <f>PCR!H30</f>
        <v/>
      </c>
    </row>
    <row r="29" spans="1:4">
      <c r="A29" t="str">
        <f>IF(LEN(PCR!E31),PCR!E31,"")</f>
        <v/>
      </c>
      <c r="B29" t="str">
        <f>IF(LEN(PCR!F31),PCR!F31,"")</f>
        <v/>
      </c>
      <c r="C29" t="str">
        <f>IF(LEN(PCR!G31),PCR!G31,"")</f>
        <v/>
      </c>
      <c r="D29" t="str">
        <f>PCR!H31</f>
        <v/>
      </c>
    </row>
    <row r="30" spans="1:4">
      <c r="A30" t="str">
        <f>IF(LEN(PCR!E32),PCR!E32,"")</f>
        <v/>
      </c>
      <c r="B30" t="str">
        <f>IF(LEN(PCR!F32),PCR!F32,"")</f>
        <v/>
      </c>
      <c r="C30" t="str">
        <f>IF(LEN(PCR!G32),PCR!G32,"")</f>
        <v/>
      </c>
      <c r="D30" t="str">
        <f>PCR!H32</f>
        <v/>
      </c>
    </row>
    <row r="31" spans="1:4">
      <c r="A31" t="str">
        <f>IF(LEN(PCR!E33),PCR!E33,"")</f>
        <v/>
      </c>
      <c r="B31" t="str">
        <f>IF(LEN(PCR!F33),PCR!F33,"")</f>
        <v/>
      </c>
      <c r="C31" t="str">
        <f>IF(LEN(PCR!G33),PCR!G33,"")</f>
        <v/>
      </c>
      <c r="D31" t="str">
        <f>PCR!H33</f>
        <v/>
      </c>
    </row>
    <row r="32" spans="1:4">
      <c r="A32" t="str">
        <f>IF(LEN(PCR!E34),PCR!E34,"")</f>
        <v/>
      </c>
      <c r="B32" t="str">
        <f>IF(LEN(PCR!F34),PCR!F34,"")</f>
        <v/>
      </c>
      <c r="C32" t="str">
        <f>IF(LEN(PCR!G34),PCR!G34,"")</f>
        <v/>
      </c>
      <c r="D32" t="str">
        <f>PCR!H34</f>
        <v/>
      </c>
    </row>
    <row r="33" spans="1:4">
      <c r="A33" t="str">
        <f>IF(LEN(PCR!E35),PCR!E35,"")</f>
        <v/>
      </c>
      <c r="B33" t="str">
        <f>IF(LEN(PCR!F35),PCR!F35,"")</f>
        <v/>
      </c>
      <c r="C33" t="str">
        <f>IF(LEN(PCR!G35),PCR!G35,"")</f>
        <v/>
      </c>
      <c r="D33" t="str">
        <f>PCR!H35</f>
        <v/>
      </c>
    </row>
    <row r="34" spans="1:4">
      <c r="A34" t="str">
        <f>IF(LEN(PCR!E36),PCR!E36,"")</f>
        <v/>
      </c>
      <c r="B34" t="str">
        <f>IF(LEN(PCR!F36),PCR!F36,"")</f>
        <v/>
      </c>
      <c r="C34" t="str">
        <f>IF(LEN(PCR!G36),PCR!G36,"")</f>
        <v/>
      </c>
      <c r="D34" t="str">
        <f>PCR!H36</f>
        <v/>
      </c>
    </row>
    <row r="35" spans="1:4">
      <c r="A35" t="str">
        <f>IF(LEN(PCR!E37),PCR!E37,"")</f>
        <v/>
      </c>
      <c r="B35" t="str">
        <f>IF(LEN(PCR!F37),PCR!F37,"")</f>
        <v/>
      </c>
      <c r="C35" t="str">
        <f>IF(LEN(PCR!G37),PCR!G37,"")</f>
        <v/>
      </c>
      <c r="D35" t="str">
        <f>PCR!H37</f>
        <v/>
      </c>
    </row>
    <row r="36" spans="1:4">
      <c r="A36" t="str">
        <f>IF(LEN(PCR!E38),PCR!E38,"")</f>
        <v/>
      </c>
      <c r="B36" t="str">
        <f>IF(LEN(PCR!F38),PCR!F38,"")</f>
        <v/>
      </c>
      <c r="C36" t="str">
        <f>IF(LEN(PCR!G38),PCR!G38,"")</f>
        <v/>
      </c>
      <c r="D36" t="str">
        <f>PCR!H38</f>
        <v/>
      </c>
    </row>
    <row r="37" spans="1:4">
      <c r="A37" t="str">
        <f>IF(LEN(PCR!E39),PCR!E39,"")</f>
        <v/>
      </c>
      <c r="B37" t="str">
        <f>IF(LEN(PCR!F39),PCR!F39,"")</f>
        <v/>
      </c>
      <c r="C37" t="str">
        <f>IF(LEN(PCR!G39),PCR!G39,"")</f>
        <v/>
      </c>
      <c r="D37" t="str">
        <f>PCR!H39</f>
        <v/>
      </c>
    </row>
    <row r="38" spans="1:4">
      <c r="A38" t="str">
        <f>IF(LEN(PCR!E40),PCR!E40,"")</f>
        <v/>
      </c>
      <c r="B38" t="str">
        <f>IF(LEN(PCR!F40),PCR!F40,"")</f>
        <v/>
      </c>
      <c r="C38" t="str">
        <f>IF(LEN(PCR!G40),PCR!G40,"")</f>
        <v/>
      </c>
      <c r="D38" t="str">
        <f>PCR!H40</f>
        <v/>
      </c>
    </row>
    <row r="39" spans="1:4">
      <c r="A39" t="str">
        <f>IF(LEN(PCR!E41),PCR!E41,"")</f>
        <v/>
      </c>
      <c r="B39" t="str">
        <f>IF(LEN(PCR!F41),PCR!F41,"")</f>
        <v/>
      </c>
      <c r="C39" t="str">
        <f>IF(LEN(PCR!G41),PCR!G41,"")</f>
        <v/>
      </c>
      <c r="D39" t="str">
        <f>PCR!H41</f>
        <v/>
      </c>
    </row>
    <row r="40" spans="1:4">
      <c r="A40" t="str">
        <f>IF(LEN(PCR!E42),PCR!E42,"")</f>
        <v/>
      </c>
      <c r="B40" t="str">
        <f>IF(LEN(PCR!F42),PCR!F42,"")</f>
        <v/>
      </c>
      <c r="C40" t="str">
        <f>IF(LEN(PCR!G42),PCR!G42,"")</f>
        <v/>
      </c>
      <c r="D40" t="str">
        <f>PCR!H42</f>
        <v/>
      </c>
    </row>
    <row r="41" spans="1:4">
      <c r="A41" t="str">
        <f>IF(LEN(PCR!E43),PCR!E43,"")</f>
        <v/>
      </c>
      <c r="B41" t="str">
        <f>IF(LEN(PCR!F43),PCR!F43,"")</f>
        <v/>
      </c>
      <c r="C41" t="str">
        <f>IF(LEN(PCR!G43),PCR!G43,"")</f>
        <v/>
      </c>
      <c r="D41" t="str">
        <f>PCR!H43</f>
        <v/>
      </c>
    </row>
    <row r="42" spans="1:4">
      <c r="A42" t="str">
        <f>IF(LEN(PCR!E44),PCR!E44,"")</f>
        <v/>
      </c>
      <c r="B42" t="str">
        <f>IF(LEN(PCR!F44),PCR!F44,"")</f>
        <v/>
      </c>
      <c r="C42" t="str">
        <f>IF(LEN(PCR!G44),PCR!G44,"")</f>
        <v/>
      </c>
      <c r="D42" t="str">
        <f>PCR!H44</f>
        <v/>
      </c>
    </row>
    <row r="43" spans="1:4">
      <c r="A43" t="str">
        <f>IF(LEN(PCR!E45),PCR!E45,"")</f>
        <v/>
      </c>
      <c r="B43" t="str">
        <f>IF(LEN(PCR!F45),PCR!F45,"")</f>
        <v/>
      </c>
      <c r="C43" t="str">
        <f>IF(LEN(PCR!G45),PCR!G45,"")</f>
        <v/>
      </c>
      <c r="D43" t="str">
        <f>PCR!H45</f>
        <v/>
      </c>
    </row>
    <row r="44" spans="1:4">
      <c r="A44" t="str">
        <f>IF(LEN(PCR!E46),PCR!E46,"")</f>
        <v/>
      </c>
      <c r="B44" t="str">
        <f>IF(LEN(PCR!F46),PCR!F46,"")</f>
        <v/>
      </c>
      <c r="C44" t="str">
        <f>IF(LEN(PCR!G46),PCR!G46,"")</f>
        <v/>
      </c>
      <c r="D44" t="str">
        <f>PCR!H46</f>
        <v/>
      </c>
    </row>
    <row r="45" spans="1:4">
      <c r="A45" t="str">
        <f>IF(LEN(PCR!E47),PCR!E47,"")</f>
        <v/>
      </c>
      <c r="B45" t="str">
        <f>IF(LEN(PCR!F47),PCR!F47,"")</f>
        <v/>
      </c>
      <c r="C45" t="str">
        <f>IF(LEN(PCR!G47),PCR!G47,"")</f>
        <v/>
      </c>
      <c r="D45" t="str">
        <f>PCR!H47</f>
        <v/>
      </c>
    </row>
    <row r="46" spans="1:4">
      <c r="A46" t="str">
        <f>IF(LEN(PCR!E48),PCR!E48,"")</f>
        <v/>
      </c>
      <c r="B46" t="str">
        <f>IF(LEN(PCR!F48),PCR!F48,"")</f>
        <v/>
      </c>
      <c r="C46" t="str">
        <f>IF(LEN(PCR!G48),PCR!G48,"")</f>
        <v/>
      </c>
      <c r="D46" t="str">
        <f>PCR!H48</f>
        <v/>
      </c>
    </row>
    <row r="47" spans="1:4">
      <c r="A47" t="str">
        <f>IF(LEN(PCR!E49),PCR!E49,"")</f>
        <v/>
      </c>
      <c r="B47" t="str">
        <f>IF(LEN(PCR!F49),PCR!F49,"")</f>
        <v/>
      </c>
      <c r="C47" t="str">
        <f>IF(LEN(PCR!G49),PCR!G49,"")</f>
        <v/>
      </c>
      <c r="D47" t="str">
        <f>PCR!H49</f>
        <v/>
      </c>
    </row>
    <row r="48" spans="1:4">
      <c r="A48" t="str">
        <f>IF(LEN(PCR!E50),PCR!E50,"")</f>
        <v/>
      </c>
      <c r="B48" t="str">
        <f>IF(LEN(PCR!F50),PCR!F50,"")</f>
        <v/>
      </c>
      <c r="C48" t="str">
        <f>IF(LEN(PCR!G50),PCR!G50,"")</f>
        <v/>
      </c>
      <c r="D48" t="str">
        <f>PCR!H50</f>
        <v/>
      </c>
    </row>
    <row r="49" spans="1:4">
      <c r="A49" t="str">
        <f>IF(LEN(PCR!E51),PCR!E51,"")</f>
        <v/>
      </c>
      <c r="B49" t="str">
        <f>IF(LEN(PCR!F51),PCR!F51,"")</f>
        <v/>
      </c>
      <c r="C49" t="str">
        <f>IF(LEN(PCR!G51),PCR!G51,"")</f>
        <v/>
      </c>
      <c r="D49" t="str">
        <f>PCR!H51</f>
        <v/>
      </c>
    </row>
    <row r="50" spans="1:4">
      <c r="A50" t="str">
        <f>IF(LEN(PCR!E52),PCR!E52,"")</f>
        <v/>
      </c>
      <c r="B50" t="str">
        <f>IF(LEN(PCR!F52),PCR!F52,"")</f>
        <v/>
      </c>
      <c r="C50" t="str">
        <f>IF(LEN(PCR!G52),PCR!G52,"")</f>
        <v/>
      </c>
      <c r="D50" t="str">
        <f>PCR!H52</f>
        <v/>
      </c>
    </row>
    <row r="51" spans="1:4">
      <c r="A51" t="str">
        <f>IF(LEN(PCR!E53),PCR!E53,"")</f>
        <v/>
      </c>
      <c r="B51" t="str">
        <f>IF(LEN(PCR!F53),PCR!F53,"")</f>
        <v/>
      </c>
      <c r="C51" t="str">
        <f>IF(LEN(PCR!G53),PCR!G53,"")</f>
        <v/>
      </c>
      <c r="D51" t="str">
        <f>PCR!H53</f>
        <v/>
      </c>
    </row>
    <row r="52" spans="1:4">
      <c r="A52" t="str">
        <f>IF(LEN(PCR!E54),PCR!E54,"")</f>
        <v/>
      </c>
      <c r="B52" t="str">
        <f>IF(LEN(PCR!F54),PCR!F54,"")</f>
        <v/>
      </c>
      <c r="C52" t="str">
        <f>IF(LEN(PCR!G54),PCR!G54,"")</f>
        <v/>
      </c>
      <c r="D52" t="str">
        <f>PCR!H54</f>
        <v/>
      </c>
    </row>
    <row r="53" spans="1:4">
      <c r="A53" t="str">
        <f>IF(LEN(PCR!E55),PCR!E55,"")</f>
        <v/>
      </c>
      <c r="B53" t="str">
        <f>IF(LEN(PCR!F55),PCR!F55,"")</f>
        <v/>
      </c>
      <c r="C53" t="str">
        <f>IF(LEN(PCR!G55),PCR!G55,"")</f>
        <v/>
      </c>
      <c r="D53" t="str">
        <f>PCR!H55</f>
        <v/>
      </c>
    </row>
    <row r="54" spans="1:4">
      <c r="A54" t="str">
        <f>IF(LEN(PCR!E56),PCR!E56,"")</f>
        <v/>
      </c>
      <c r="B54" t="str">
        <f>IF(LEN(PCR!F56),PCR!F56,"")</f>
        <v/>
      </c>
      <c r="C54" t="str">
        <f>IF(LEN(PCR!G56),PCR!G56,"")</f>
        <v/>
      </c>
      <c r="D54" t="str">
        <f>PCR!H56</f>
        <v/>
      </c>
    </row>
    <row r="55" spans="1:4">
      <c r="A55" t="str">
        <f>IF(LEN(PCR!E57),PCR!E57,"")</f>
        <v/>
      </c>
      <c r="B55" t="str">
        <f>IF(LEN(PCR!F57),PCR!F57,"")</f>
        <v/>
      </c>
      <c r="C55" t="str">
        <f>IF(LEN(PCR!G57),PCR!G57,"")</f>
        <v/>
      </c>
      <c r="D55" t="str">
        <f>PCR!H57</f>
        <v/>
      </c>
    </row>
    <row r="56" spans="1:4">
      <c r="A56" t="str">
        <f>IF(LEN(PCR!E58),PCR!E58,"")</f>
        <v/>
      </c>
      <c r="B56" t="str">
        <f>IF(LEN(PCR!F58),PCR!F58,"")</f>
        <v/>
      </c>
      <c r="C56" t="str">
        <f>IF(LEN(PCR!G58),PCR!G58,"")</f>
        <v/>
      </c>
      <c r="D56" t="str">
        <f>PCR!H58</f>
        <v/>
      </c>
    </row>
    <row r="57" spans="1:4">
      <c r="A57" t="str">
        <f>IF(LEN(PCR!E59),PCR!E59,"")</f>
        <v/>
      </c>
      <c r="B57" t="str">
        <f>IF(LEN(PCR!F59),PCR!F59,"")</f>
        <v/>
      </c>
      <c r="C57" t="str">
        <f>IF(LEN(PCR!G59),PCR!G59,"")</f>
        <v/>
      </c>
      <c r="D57" t="str">
        <f>PCR!H59</f>
        <v/>
      </c>
    </row>
    <row r="58" spans="1:4">
      <c r="A58" t="str">
        <f>IF(LEN(PCR!E60),PCR!E60,"")</f>
        <v/>
      </c>
      <c r="B58" t="str">
        <f>IF(LEN(PCR!F60),PCR!F60,"")</f>
        <v/>
      </c>
      <c r="C58" t="str">
        <f>IF(LEN(PCR!G60),PCR!G60,"")</f>
        <v/>
      </c>
      <c r="D58" t="str">
        <f>PCR!H60</f>
        <v/>
      </c>
    </row>
    <row r="59" spans="1:4">
      <c r="A59" t="str">
        <f>IF(LEN(PCR!E61),PCR!E61,"")</f>
        <v/>
      </c>
      <c r="B59" t="str">
        <f>IF(LEN(PCR!F61),PCR!F61,"")</f>
        <v/>
      </c>
      <c r="C59" t="str">
        <f>IF(LEN(PCR!G61),PCR!G61,"")</f>
        <v/>
      </c>
      <c r="D59" t="str">
        <f>PCR!H61</f>
        <v/>
      </c>
    </row>
    <row r="60" spans="1:4">
      <c r="A60" t="str">
        <f>IF(LEN(PCR!E62),PCR!E62,"")</f>
        <v/>
      </c>
      <c r="B60" t="str">
        <f>IF(LEN(PCR!F62),PCR!F62,"")</f>
        <v/>
      </c>
      <c r="C60" t="str">
        <f>IF(LEN(PCR!G62),PCR!G62,"")</f>
        <v/>
      </c>
      <c r="D60" t="str">
        <f>PCR!H62</f>
        <v/>
      </c>
    </row>
    <row r="61" spans="1:4">
      <c r="A61" t="str">
        <f>IF(LEN(PCR!E63),PCR!E63,"")</f>
        <v/>
      </c>
      <c r="B61" t="str">
        <f>IF(LEN(PCR!F63),PCR!F63,"")</f>
        <v/>
      </c>
      <c r="C61" t="str">
        <f>IF(LEN(PCR!G63),PCR!G63,"")</f>
        <v/>
      </c>
      <c r="D61" t="str">
        <f>PCR!H63</f>
        <v/>
      </c>
    </row>
    <row r="62" spans="1:4">
      <c r="A62" t="str">
        <f>IF(LEN(PCR!E64),PCR!E64,"")</f>
        <v/>
      </c>
      <c r="B62" t="str">
        <f>IF(LEN(PCR!F64),PCR!F64,"")</f>
        <v/>
      </c>
      <c r="C62" t="str">
        <f>IF(LEN(PCR!G64),PCR!G64,"")</f>
        <v/>
      </c>
      <c r="D62" t="str">
        <f>PCR!H64</f>
        <v/>
      </c>
    </row>
    <row r="63" spans="1:4">
      <c r="A63" t="str">
        <f>IF(LEN(PCR!E65),PCR!E65,"")</f>
        <v/>
      </c>
      <c r="B63" t="str">
        <f>IF(LEN(PCR!F65),PCR!F65,"")</f>
        <v/>
      </c>
      <c r="C63" t="str">
        <f>IF(LEN(PCR!G65),PCR!G65,"")</f>
        <v/>
      </c>
      <c r="D63" t="str">
        <f>PCR!H65</f>
        <v/>
      </c>
    </row>
    <row r="64" spans="1:4">
      <c r="A64" t="str">
        <f>IF(LEN(PCR!E66),PCR!E66,"")</f>
        <v/>
      </c>
      <c r="B64" t="str">
        <f>IF(LEN(PCR!F66),PCR!F66,"")</f>
        <v/>
      </c>
      <c r="C64" t="str">
        <f>IF(LEN(PCR!G66),PCR!G66,"")</f>
        <v/>
      </c>
      <c r="D64" t="str">
        <f>PCR!H66</f>
        <v/>
      </c>
    </row>
    <row r="65" spans="1:4">
      <c r="A65" t="str">
        <f>IF(LEN(PCR!E67),PCR!E67,"")</f>
        <v/>
      </c>
      <c r="B65" t="str">
        <f>IF(LEN(PCR!F67),PCR!F67,"")</f>
        <v/>
      </c>
      <c r="C65" t="str">
        <f>IF(LEN(PCR!G67),PCR!G67,"")</f>
        <v/>
      </c>
      <c r="D65" t="str">
        <f>PCR!H67</f>
        <v/>
      </c>
    </row>
    <row r="66" spans="1:4">
      <c r="A66" t="str">
        <f>IF(LEN(PCR!E68),PCR!E68,"")</f>
        <v/>
      </c>
      <c r="B66" t="str">
        <f>IF(LEN(PCR!F68),PCR!F68,"")</f>
        <v/>
      </c>
      <c r="C66" t="str">
        <f>IF(LEN(PCR!G68),PCR!G68,"")</f>
        <v/>
      </c>
      <c r="D66" t="str">
        <f>PCR!H68</f>
        <v/>
      </c>
    </row>
    <row r="67" spans="1:4">
      <c r="A67" t="str">
        <f>IF(LEN(PCR!E69),PCR!E69,"")</f>
        <v/>
      </c>
      <c r="B67" t="str">
        <f>IF(LEN(PCR!F69),PCR!F69,"")</f>
        <v/>
      </c>
      <c r="C67" t="str">
        <f>IF(LEN(PCR!G69),PCR!G69,"")</f>
        <v/>
      </c>
      <c r="D67" t="str">
        <f>PCR!H69</f>
        <v/>
      </c>
    </row>
    <row r="68" spans="1:4">
      <c r="A68" t="str">
        <f>IF(LEN(PCR!E70),PCR!E70,"")</f>
        <v/>
      </c>
      <c r="B68" t="str">
        <f>IF(LEN(PCR!F70),PCR!F70,"")</f>
        <v/>
      </c>
      <c r="C68" t="str">
        <f>IF(LEN(PCR!G70),PCR!G70,"")</f>
        <v/>
      </c>
      <c r="D68" t="str">
        <f>PCR!H70</f>
        <v/>
      </c>
    </row>
    <row r="69" spans="1:4">
      <c r="A69" t="str">
        <f>IF(LEN(PCR!E71),PCR!E71,"")</f>
        <v/>
      </c>
      <c r="B69" t="str">
        <f>IF(LEN(PCR!F71),PCR!F71,"")</f>
        <v/>
      </c>
      <c r="C69" t="str">
        <f>IF(LEN(PCR!G71),PCR!G71,"")</f>
        <v/>
      </c>
      <c r="D69" t="str">
        <f>PCR!H71</f>
        <v/>
      </c>
    </row>
    <row r="70" spans="1:4">
      <c r="A70" t="str">
        <f>IF(LEN(PCR!E72),PCR!E72,"")</f>
        <v/>
      </c>
      <c r="B70" t="str">
        <f>IF(LEN(PCR!F72),PCR!F72,"")</f>
        <v/>
      </c>
      <c r="C70" t="str">
        <f>IF(LEN(PCR!G72),PCR!G72,"")</f>
        <v/>
      </c>
      <c r="D70" t="str">
        <f>PCR!H72</f>
        <v/>
      </c>
    </row>
    <row r="71" spans="1:4">
      <c r="A71" t="str">
        <f>IF(LEN(PCR!E73),PCR!E73,"")</f>
        <v/>
      </c>
      <c r="B71" t="str">
        <f>IF(LEN(PCR!F73),PCR!F73,"")</f>
        <v/>
      </c>
      <c r="C71" t="str">
        <f>IF(LEN(PCR!G73),PCR!G73,"")</f>
        <v/>
      </c>
      <c r="D71" t="str">
        <f>PCR!H73</f>
        <v/>
      </c>
    </row>
    <row r="72" spans="1:4">
      <c r="A72" t="str">
        <f>IF(LEN(PCR!E74),PCR!E74,"")</f>
        <v/>
      </c>
      <c r="B72" t="str">
        <f>IF(LEN(PCR!F74),PCR!F74,"")</f>
        <v/>
      </c>
      <c r="C72" t="str">
        <f>IF(LEN(PCR!G74),PCR!G74,"")</f>
        <v/>
      </c>
      <c r="D72" t="str">
        <f>PCR!H74</f>
        <v/>
      </c>
    </row>
    <row r="73" spans="1:4">
      <c r="A73" t="str">
        <f>IF(LEN(PCR!E75),PCR!E75,"")</f>
        <v/>
      </c>
      <c r="B73" t="str">
        <f>IF(LEN(PCR!F75),PCR!F75,"")</f>
        <v/>
      </c>
      <c r="C73" t="str">
        <f>IF(LEN(PCR!G75),PCR!G75,"")</f>
        <v/>
      </c>
      <c r="D73" t="str">
        <f>PCR!H75</f>
        <v/>
      </c>
    </row>
    <row r="74" spans="1:4">
      <c r="A74" t="str">
        <f>IF(LEN(PCR!E76),PCR!E76,"")</f>
        <v/>
      </c>
      <c r="B74" t="str">
        <f>IF(LEN(PCR!F76),PCR!F76,"")</f>
        <v/>
      </c>
      <c r="C74" t="str">
        <f>IF(LEN(PCR!G76),PCR!G76,"")</f>
        <v/>
      </c>
      <c r="D74" t="str">
        <f>PCR!H76</f>
        <v/>
      </c>
    </row>
    <row r="75" spans="1:4">
      <c r="A75" t="str">
        <f>IF(LEN(PCR!E77),PCR!E77,"")</f>
        <v/>
      </c>
      <c r="B75" t="str">
        <f>IF(LEN(PCR!F77),PCR!F77,"")</f>
        <v/>
      </c>
      <c r="C75" t="str">
        <f>IF(LEN(PCR!G77),PCR!G77,"")</f>
        <v/>
      </c>
      <c r="D75" t="str">
        <f>PCR!H77</f>
        <v/>
      </c>
    </row>
    <row r="76" spans="1:4">
      <c r="A76" t="str">
        <f>IF(LEN(PCR!E78),PCR!E78,"")</f>
        <v/>
      </c>
      <c r="B76" t="str">
        <f>IF(LEN(PCR!F78),PCR!F78,"")</f>
        <v/>
      </c>
      <c r="C76" t="str">
        <f>IF(LEN(PCR!G78),PCR!G78,"")</f>
        <v/>
      </c>
      <c r="D76" t="str">
        <f>PCR!H78</f>
        <v/>
      </c>
    </row>
    <row r="77" spans="1:4">
      <c r="A77" t="str">
        <f>IF(LEN(PCR!E79),PCR!E79,"")</f>
        <v/>
      </c>
      <c r="B77" t="str">
        <f>IF(LEN(PCR!F79),PCR!F79,"")</f>
        <v/>
      </c>
      <c r="C77" t="str">
        <f>IF(LEN(PCR!G79),PCR!G79,"")</f>
        <v/>
      </c>
      <c r="D77" t="str">
        <f>PCR!H79</f>
        <v/>
      </c>
    </row>
    <row r="78" spans="1:4">
      <c r="A78" t="str">
        <f>IF(LEN(PCR!E80),PCR!E80,"")</f>
        <v/>
      </c>
      <c r="B78" t="str">
        <f>IF(LEN(PCR!F80),PCR!F80,"")</f>
        <v/>
      </c>
      <c r="C78" t="str">
        <f>IF(LEN(PCR!G80),PCR!G80,"")</f>
        <v/>
      </c>
      <c r="D78" t="str">
        <f>PCR!H80</f>
        <v/>
      </c>
    </row>
    <row r="79" spans="1:4">
      <c r="A79" t="str">
        <f>IF(LEN(PCR!E81),PCR!E81,"")</f>
        <v/>
      </c>
      <c r="B79" t="str">
        <f>IF(LEN(PCR!F81),PCR!F81,"")</f>
        <v/>
      </c>
      <c r="C79" t="str">
        <f>IF(LEN(PCR!G81),PCR!G81,"")</f>
        <v/>
      </c>
      <c r="D79" t="str">
        <f>PCR!H81</f>
        <v/>
      </c>
    </row>
    <row r="80" spans="1:4">
      <c r="A80" t="str">
        <f>IF(LEN(PCR!E82),PCR!E82,"")</f>
        <v/>
      </c>
      <c r="B80" t="str">
        <f>IF(LEN(PCR!F82),PCR!F82,"")</f>
        <v/>
      </c>
      <c r="C80" t="str">
        <f>IF(LEN(PCR!G82),PCR!G82,"")</f>
        <v/>
      </c>
      <c r="D80" t="str">
        <f>PCR!H82</f>
        <v/>
      </c>
    </row>
    <row r="81" spans="1:4">
      <c r="A81" t="str">
        <f>IF(LEN(PCR!E83),PCR!E83,"")</f>
        <v/>
      </c>
      <c r="B81" t="str">
        <f>IF(LEN(PCR!F83),PCR!F83,"")</f>
        <v/>
      </c>
      <c r="C81" t="str">
        <f>IF(LEN(PCR!G83),PCR!G83,"")</f>
        <v/>
      </c>
      <c r="D81" t="str">
        <f>PCR!H83</f>
        <v/>
      </c>
    </row>
    <row r="82" spans="1:4">
      <c r="A82" t="str">
        <f>IF(LEN(PCR!E84),PCR!E84,"")</f>
        <v/>
      </c>
      <c r="B82" t="str">
        <f>IF(LEN(PCR!F84),PCR!F84,"")</f>
        <v/>
      </c>
      <c r="C82" t="str">
        <f>IF(LEN(PCR!G84),PCR!G84,"")</f>
        <v/>
      </c>
      <c r="D82" t="str">
        <f>PCR!H84</f>
        <v/>
      </c>
    </row>
    <row r="83" spans="1:4">
      <c r="A83" t="str">
        <f>IF(LEN(PCR!E85),PCR!E85,"")</f>
        <v/>
      </c>
      <c r="B83" t="str">
        <f>IF(LEN(PCR!F85),PCR!F85,"")</f>
        <v/>
      </c>
      <c r="C83" t="str">
        <f>IF(LEN(PCR!G85),PCR!G85,"")</f>
        <v/>
      </c>
      <c r="D83" t="str">
        <f>PCR!H85</f>
        <v/>
      </c>
    </row>
    <row r="84" spans="1:4">
      <c r="A84" t="str">
        <f>IF(LEN(PCR!E86),PCR!E86,"")</f>
        <v/>
      </c>
      <c r="B84" t="str">
        <f>IF(LEN(PCR!F86),PCR!F86,"")</f>
        <v/>
      </c>
      <c r="C84" t="str">
        <f>IF(LEN(PCR!G86),PCR!G86,"")</f>
        <v/>
      </c>
      <c r="D84" t="str">
        <f>PCR!H86</f>
        <v/>
      </c>
    </row>
    <row r="85" spans="1:4">
      <c r="A85" t="str">
        <f>IF(LEN(PCR!E87),PCR!E87,"")</f>
        <v/>
      </c>
      <c r="B85" t="str">
        <f>IF(LEN(PCR!F87),PCR!F87,"")</f>
        <v/>
      </c>
      <c r="C85" t="str">
        <f>IF(LEN(PCR!G87),PCR!G87,"")</f>
        <v/>
      </c>
      <c r="D85" t="str">
        <f>PCR!H87</f>
        <v/>
      </c>
    </row>
    <row r="86" spans="1:4">
      <c r="A86" t="str">
        <f>IF(LEN(PCR!E88),PCR!E88,"")</f>
        <v/>
      </c>
      <c r="B86" t="str">
        <f>IF(LEN(PCR!F88),PCR!F88,"")</f>
        <v/>
      </c>
      <c r="C86" t="str">
        <f>IF(LEN(PCR!G88),PCR!G88,"")</f>
        <v/>
      </c>
      <c r="D86" t="str">
        <f>PCR!H88</f>
        <v/>
      </c>
    </row>
    <row r="87" spans="1:4">
      <c r="A87" t="str">
        <f>IF(LEN(PCR!E89),PCR!E89,"")</f>
        <v/>
      </c>
      <c r="B87" t="str">
        <f>IF(LEN(PCR!F89),PCR!F89,"")</f>
        <v/>
      </c>
      <c r="C87" t="str">
        <f>IF(LEN(PCR!G89),PCR!G89,"")</f>
        <v/>
      </c>
      <c r="D87" t="str">
        <f>PCR!H89</f>
        <v/>
      </c>
    </row>
    <row r="88" spans="1:4">
      <c r="A88" t="str">
        <f>IF(LEN(PCR!E90),PCR!E90,"")</f>
        <v/>
      </c>
      <c r="B88" t="str">
        <f>IF(LEN(PCR!F90),PCR!F90,"")</f>
        <v/>
      </c>
      <c r="C88" t="str">
        <f>IF(LEN(PCR!G90),PCR!G90,"")</f>
        <v/>
      </c>
      <c r="D88" t="str">
        <f>PCR!H90</f>
        <v/>
      </c>
    </row>
    <row r="89" spans="1:4">
      <c r="A89" t="str">
        <f>IF(LEN(PCR!E91),PCR!E91,"")</f>
        <v/>
      </c>
      <c r="B89" t="str">
        <f>IF(LEN(PCR!F91),PCR!F91,"")</f>
        <v/>
      </c>
      <c r="C89" t="str">
        <f>IF(LEN(PCR!G91),PCR!G91,"")</f>
        <v/>
      </c>
      <c r="D89" t="str">
        <f>PCR!H91</f>
        <v/>
      </c>
    </row>
    <row r="90" spans="1:4">
      <c r="A90" t="str">
        <f>IF(LEN(PCR!E92),PCR!E92,"")</f>
        <v/>
      </c>
      <c r="B90" t="str">
        <f>IF(LEN(PCR!F92),PCR!F92,"")</f>
        <v/>
      </c>
      <c r="C90" t="str">
        <f>IF(LEN(PCR!G92),PCR!G92,"")</f>
        <v/>
      </c>
      <c r="D90" t="str">
        <f>PCR!H92</f>
        <v/>
      </c>
    </row>
    <row r="91" spans="1:4">
      <c r="A91" t="str">
        <f>IF(LEN(PCR!E93),PCR!E93,"")</f>
        <v/>
      </c>
      <c r="B91" t="str">
        <f>IF(LEN(PCR!F93),PCR!F93,"")</f>
        <v/>
      </c>
      <c r="C91" t="str">
        <f>IF(LEN(PCR!G93),PCR!G93,"")</f>
        <v/>
      </c>
      <c r="D91" t="str">
        <f>PCR!H93</f>
        <v/>
      </c>
    </row>
    <row r="92" spans="1:4">
      <c r="A92" t="str">
        <f>IF(LEN(PCR!E94),PCR!E94,"")</f>
        <v/>
      </c>
      <c r="B92" t="str">
        <f>IF(LEN(PCR!F94),PCR!F94,"")</f>
        <v/>
      </c>
      <c r="C92" t="str">
        <f>IF(LEN(PCR!G94),PCR!G94,"")</f>
        <v/>
      </c>
      <c r="D92" t="str">
        <f>PCR!H94</f>
        <v/>
      </c>
    </row>
    <row r="93" spans="1:4">
      <c r="A93" t="str">
        <f>IF(LEN(PCR!E95),PCR!E95,"")</f>
        <v/>
      </c>
      <c r="B93" t="str">
        <f>IF(LEN(PCR!F95),PCR!F95,"")</f>
        <v/>
      </c>
      <c r="C93" t="str">
        <f>IF(LEN(PCR!G95),PCR!G95,"")</f>
        <v/>
      </c>
      <c r="D93" t="str">
        <f>PCR!H95</f>
        <v/>
      </c>
    </row>
    <row r="94" spans="1:4">
      <c r="A94" t="str">
        <f>IF(LEN(PCR!E96),PCR!E96,"")</f>
        <v/>
      </c>
      <c r="B94" t="str">
        <f>IF(LEN(PCR!F96),PCR!F96,"")</f>
        <v/>
      </c>
      <c r="C94" t="str">
        <f>IF(LEN(PCR!G96),PCR!G96,"")</f>
        <v/>
      </c>
      <c r="D94" t="str">
        <f>PCR!H96</f>
        <v/>
      </c>
    </row>
    <row r="95" spans="1:4">
      <c r="A95" t="str">
        <f>IF(LEN(PCR!E97),PCR!E97,"")</f>
        <v/>
      </c>
      <c r="B95" t="str">
        <f>IF(LEN(PCR!F97),PCR!F97,"")</f>
        <v/>
      </c>
      <c r="C95" t="str">
        <f>IF(LEN(PCR!G97),PCR!G97,"")</f>
        <v/>
      </c>
      <c r="D95" t="str">
        <f>PCR!H97</f>
        <v/>
      </c>
    </row>
    <row r="96" spans="1:4">
      <c r="A96" t="str">
        <f>IF(LEN(PCR!E98),PCR!E98,"")</f>
        <v/>
      </c>
      <c r="B96" t="str">
        <f>IF(LEN(PCR!F98),PCR!F98,"")</f>
        <v/>
      </c>
      <c r="C96" t="str">
        <f>IF(LEN(PCR!G98),PCR!G98,"")</f>
        <v/>
      </c>
      <c r="D96" t="str">
        <f>PCR!H98</f>
        <v/>
      </c>
    </row>
    <row r="97" spans="1:4">
      <c r="A97" t="str">
        <f>IF(LEN(PCR!E99),PCR!E99,"")</f>
        <v/>
      </c>
      <c r="B97" t="str">
        <f>IF(LEN(PCR!F99),PCR!F99,"")</f>
        <v/>
      </c>
      <c r="C97" t="str">
        <f>IF(LEN(PCR!G99),PCR!G99,"")</f>
        <v/>
      </c>
      <c r="D97" t="str">
        <f>PCR!H99</f>
        <v/>
      </c>
    </row>
  </sheetData>
  <sheetProtection algorithmName="SHA-512" hashValue="BLu8EmCopqeXXFOD7uNFpzSzThmsFyHaSVG0GGJLdoiKKFBPnJB2u1oyW+JX2HRxWZzA533PtTwTEyMFn48F+Q==" saltValue="i+k8uu7Jei21nhca03DEWw==" spinCount="100000" sheet="1" objects="1" scenarios="1"/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14</vt:i4>
      </vt:variant>
    </vt:vector>
  </HeadingPairs>
  <TitlesOfParts>
    <vt:vector size="20" baseType="lpstr">
      <vt:lpstr>Assay</vt:lpstr>
      <vt:lpstr>PCR</vt:lpstr>
      <vt:lpstr>Gel</vt:lpstr>
      <vt:lpstr>Reference</vt:lpstr>
      <vt:lpstr>expt_metadata</vt:lpstr>
      <vt:lpstr>rxn_metadata</vt:lpstr>
      <vt:lpstr>exp_assay</vt:lpstr>
      <vt:lpstr>exp_date</vt:lpstr>
      <vt:lpstr>exp_id</vt:lpstr>
      <vt:lpstr>exp_notes</vt:lpstr>
      <vt:lpstr>exp_rxns</vt:lpstr>
      <vt:lpstr>exp_summary</vt:lpstr>
      <vt:lpstr>exp_type</vt:lpstr>
      <vt:lpstr>exp_version</vt:lpstr>
      <vt:lpstr>pcr_enzyme</vt:lpstr>
      <vt:lpstr>Post_PCR_target_DNA_conc</vt:lpstr>
      <vt:lpstr>teamplate_max_vol</vt:lpstr>
      <vt:lpstr>template_vol</vt:lpstr>
      <vt:lpstr>user_initials</vt:lpstr>
      <vt:lpstr>user_name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Dan Bridges</cp:lastModifiedBy>
  <cp:lastPrinted>2024-11-12T19:16:50Z</cp:lastPrinted>
  <dcterms:created xsi:type="dcterms:W3CDTF">2022-03-21T12:22:51Z</dcterms:created>
  <dcterms:modified xsi:type="dcterms:W3CDTF">2025-11-07T21:04:29Z</dcterms:modified>
</cp:coreProperties>
</file>