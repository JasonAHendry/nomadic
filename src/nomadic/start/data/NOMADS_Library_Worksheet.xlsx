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7BC99190-97C5-4A80-A740-89AF5CBABB9C}" xr6:coauthVersionLast="47" xr6:coauthVersionMax="47" xr10:uidLastSave="{00000000-0000-0000-0000-000000000000}"/>
  <bookViews>
    <workbookView xWindow="-108" yWindow="-108" windowWidth="46284" windowHeight="23244" tabRatio="500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2" l="1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C7" i="2"/>
  <c r="C2" i="6" l="1" a="1"/>
  <c r="C2" i="6" s="1"/>
  <c r="D2" i="6" a="1"/>
  <c r="D2" i="6" s="1"/>
  <c r="B2" i="6" a="1"/>
  <c r="B2" i="6" s="1"/>
  <c r="J102" i="2"/>
  <c r="J98" i="2"/>
  <c r="J94" i="2"/>
  <c r="J90" i="2"/>
  <c r="J86" i="2"/>
  <c r="J82" i="2"/>
  <c r="J78" i="2"/>
  <c r="J74" i="2"/>
  <c r="J70" i="2"/>
  <c r="J66" i="2"/>
  <c r="J62" i="2"/>
  <c r="J58" i="2"/>
  <c r="J54" i="2"/>
  <c r="J50" i="2"/>
  <c r="J46" i="2"/>
  <c r="J42" i="2"/>
  <c r="J38" i="2"/>
  <c r="J34" i="2"/>
  <c r="J30" i="2"/>
  <c r="J26" i="2"/>
  <c r="J22" i="2"/>
  <c r="J18" i="2"/>
  <c r="J14" i="2"/>
  <c r="J105" i="2"/>
  <c r="J101" i="2"/>
  <c r="J97" i="2"/>
  <c r="J93" i="2"/>
  <c r="J89" i="2"/>
  <c r="J85" i="2"/>
  <c r="J81" i="2"/>
  <c r="J77" i="2"/>
  <c r="J73" i="2"/>
  <c r="J69" i="2"/>
  <c r="J65" i="2"/>
  <c r="J61" i="2"/>
  <c r="J57" i="2"/>
  <c r="J53" i="2"/>
  <c r="J49" i="2"/>
  <c r="J45" i="2"/>
  <c r="J41" i="2"/>
  <c r="J37" i="2"/>
  <c r="J33" i="2"/>
  <c r="J29" i="2"/>
  <c r="J25" i="2"/>
  <c r="J21" i="2"/>
  <c r="J17" i="2"/>
  <c r="J13" i="2"/>
  <c r="J104" i="2"/>
  <c r="J100" i="2"/>
  <c r="J96" i="2"/>
  <c r="J92" i="2"/>
  <c r="J88" i="2"/>
  <c r="J84" i="2"/>
  <c r="J80" i="2"/>
  <c r="J76" i="2"/>
  <c r="J72" i="2"/>
  <c r="J68" i="2"/>
  <c r="J64" i="2"/>
  <c r="J60" i="2"/>
  <c r="J56" i="2"/>
  <c r="J52" i="2"/>
  <c r="J48" i="2"/>
  <c r="J44" i="2"/>
  <c r="J40" i="2"/>
  <c r="J36" i="2"/>
  <c r="J32" i="2"/>
  <c r="J28" i="2"/>
  <c r="J24" i="2"/>
  <c r="J20" i="2"/>
  <c r="J16" i="2"/>
  <c r="J103" i="2"/>
  <c r="J99" i="2"/>
  <c r="J95" i="2"/>
  <c r="J91" i="2"/>
  <c r="J87" i="2"/>
  <c r="J83" i="2"/>
  <c r="J79" i="2"/>
  <c r="J75" i="2"/>
  <c r="J71" i="2"/>
  <c r="J67" i="2"/>
  <c r="J63" i="2"/>
  <c r="J59" i="2"/>
  <c r="J55" i="2"/>
  <c r="J51" i="2"/>
  <c r="J47" i="2"/>
  <c r="J43" i="2"/>
  <c r="J39" i="2"/>
  <c r="J35" i="2"/>
  <c r="J31" i="2"/>
  <c r="J27" i="2"/>
  <c r="J23" i="2"/>
  <c r="J19" i="2"/>
  <c r="J15" i="2"/>
  <c r="A2" i="6" a="1"/>
  <c r="A2" i="6" s="1"/>
  <c r="J10" i="2"/>
  <c r="J12" i="2"/>
  <c r="J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<sst xmlns="http://schemas.openxmlformats.org/spreadsheetml/2006/main" count="139" uniqueCount="138">
  <si>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</si>
  <si>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</si>
  <si>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</si>
  <si>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</si>
  <si>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</si>
  <si>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</si>
  <si>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</si>
  <si>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</si>
  <si>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</si>
  <si>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</si>
  <si>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</si>
  <si>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</si>
  <si>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</si>
  <si>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</si>
  <si>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</si>
  <si>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</si>
  <si>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</si>
  <si>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</si>
  <si>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</si>
  <si>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</si>
  <si>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</si>
  <si>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</si>
  <si>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</si>
  <si>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</si>
  <si>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</si>
  <si>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</si>
  <si>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</si>
  <si>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</si>
  <si>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</si>
  <si>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</si>
  <si>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</si>
  <si>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</si>
  <si>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</si>
  <si>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</si>
  <si>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</si>
  <si>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</si>
  <si>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</si>
  <si>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</si>
  <si>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</si>
  <si>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</si>
  <si>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</si>
  <si>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</si>
  <si>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</si>
  <si>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</si>
  <si>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</si>
  <si>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</si>
  <si>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</si>
  <si>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</si>
  <si>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</si>
  <si>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</si>
  <si>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</si>
  <si>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</si>
  <si>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</si>
  <si>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</si>
  <si>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</si>
  <si>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</si>
  <si>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</si>
  <si>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</si>
  <si>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</si>
  <si>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</si>
  <si>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</si>
  <si>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</si>
  <si>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</si>
  <si>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</si>
  <si>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</si>
  <si>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</si>
  <si>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</si>
  <si>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</si>
  <si>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</si>
  <si>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</si>
  <si>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</si>
  <si>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</si>
  <si>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</si>
  <si>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</si>
  <si>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</si>
  <si>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</si>
  <si>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</si>
  <si>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</si>
  <si>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</si>
  <si>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</si>
  <si>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</si>
  <si>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</si>
  <si>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</si>
  <si>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</si>
  <si>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</si>
  <si>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</si>
  <si>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</si>
  <si>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</si>
  <si>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</si>
  <si>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</si>
  <si>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</si>
  <si>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</si>
  <si>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</si>
  <si>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</si>
  <si>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</si>
  <si>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</si>
  <si>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</si>
  <si>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</si>
  <si>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</si>
  <si>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</si>
  <si>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</si>
  <si>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</si>
  <si>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</si>
  <si>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</si>
  <si>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</si>
  <si>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</si>
  <si>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</si>
  <si>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</si>
  <si>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</si>
  <si>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</si>
  <si>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</si>
  <si>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</si>
  <si>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</si>
  <si>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</si>
  <si>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</si>
  <si>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</si>
  <si>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</si>
  <si>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</si>
  <si>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</si>
  <si>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</si>
  <si>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</si>
  <si>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</si>
  <si>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</si>
  <si>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</si>
  <si>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</si>
  <si>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</si>
  <si>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</si>
  <si>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</si>
  <si>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</si>
  <si>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</si>
  <si>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</si>
  <si>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</si>
  <si>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</si>
  <si>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</si>
  <si>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</si>
  <si>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</si>
  <si>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</si>
  <si>
    <t>Formatted Barcode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</si>
</sst>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3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  <font>
      <b/>
      <sz val="12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theme="8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 wrapText="1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49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12" fillId="5" borderId="16" xfId="0" applyFont="1" applyFill="1" applyBorder="1"/>
    <xf numFmtId="0" fontId="12" fillId="5" borderId="17" xfId="0" applyFont="1" applyFill="1" applyBorder="1"/>
    <xf numFmtId="0" fontId="12" fillId="5" borderId="18" xfId="0" applyFont="1" applyFill="1" applyBorder="1"/>
    <xf numFmtId="0" fontId="0" fillId="0" borderId="0" xfId="0" applyNumberFormat="1"/>
    <xf numFmtId="0" fontId="0" fillId="0" borderId="2" xfId="0" applyNumberFormat="1" applyBorder="1" applyAlignment="1" applyProtection="1">
      <alignment horizontal="center"/>
    </xf>
    <xf numFmtId="0" fontId="0" fillId="0" borderId="4" xfId="0" applyNumberFormat="1" applyBorder="1" applyAlignment="1" applyProtection="1">
      <alignment horizontal="center"/>
    </xf>
    <xf numFmtId="0" fontId="0" fillId="0" borderId="14" xfId="0" applyNumberFormat="1" applyBorder="1" applyAlignment="1" applyProtection="1">
      <alignment horizont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9"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J105" totalsRowShown="0" headerRowDxfId="18" dataDxfId="16" headerRowBorderDxfId="17">
  <tableColumns count="10">
    <tableColumn id="2" xr3:uid="{00000000-0010-0000-0000-000002000000}" name="Well" dataDxfId="15"/>
    <tableColumn id="3" xr3:uid="{00000000-0010-0000-0000-000003000000}" name="Sample ID" dataDxfId="14"/>
    <tableColumn id="10" xr3:uid="{00000000-0010-0000-0000-00000A000000}" name="Barcode" dataDxfId="13"/>
    <tableColumn id="26" xr3:uid="{CDAB9BF6-0E65-46A9-85EA-6751A98F15D6}" name="Sample Type" dataDxfId="12"/>
    <tableColumn id="9" xr3:uid="{00000000-0010-0000-0000-000009000000}" name="PCR [DNA] (ng / µl)" dataDxfId="8"/>
    <tableColumn id="14" xr3:uid="{562BADBF-24F7-493A-AA11-D9706FC27C21}" name="Formatted Barcode" dataDxfId="6">
      <calculatedColumnFormula>CONCATENATE("barcode",TEXT(tbl_SeqLib[[#This Row],[Barcode]],"00"))</calculatedColumnFormula>
    </tableColumn>
    <tableColumn id="4" xr3:uid="{AB50544D-BD3B-4916-A4E2-114385DE79D0}" name="Duplicate Barcode" dataDxfId="7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J115"/>
  <sheetViews>
    <sheetView tabSelected="1" zoomScaleNormal="100" workbookViewId="0">
      <selection activeCell="B10" sqref="B10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9" width="24" hidden="1" customWidth="1"/>
    <col min="10" max="10" width="20.19921875" customWidth="1"/>
  </cols>
  <sheetData>
    <row r="1" spans="1:10" x14ac:dyDescent="0.3">
      <c r="A1" s="39" t="s">
        <v>107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x14ac:dyDescent="0.3">
      <c r="A2" s="38" t="s">
        <v>126</v>
      </c>
      <c r="B2" s="38"/>
      <c r="C2" s="40"/>
      <c r="D2" s="40"/>
      <c r="E2" s="5" t="s">
        <v>0</v>
      </c>
      <c r="F2" s="5"/>
      <c r="G2" s="5"/>
      <c r="H2" s="5"/>
      <c r="I2" s="5"/>
    </row>
    <row r="3" spans="1:10" x14ac:dyDescent="0.3">
      <c r="A3" s="38" t="s">
        <v>104</v>
      </c>
      <c r="B3" s="38"/>
      <c r="C3" s="41"/>
      <c r="D3" s="41"/>
      <c r="E3" t="s">
        <v>127</v>
      </c>
    </row>
    <row r="4" spans="1:10" x14ac:dyDescent="0.3">
      <c r="A4" s="38" t="s">
        <v>106</v>
      </c>
      <c r="B4" s="38"/>
      <c r="C4" s="41"/>
      <c r="D4" s="41"/>
      <c r="E4" t="s">
        <v>128</v>
      </c>
    </row>
    <row r="5" spans="1:10" x14ac:dyDescent="0.3">
      <c r="A5" s="38" t="s">
        <v>131</v>
      </c>
      <c r="B5" s="38"/>
      <c r="C5" s="44"/>
      <c r="D5" s="44"/>
      <c r="E5" s="6" t="s">
        <v>129</v>
      </c>
      <c r="F5" s="6"/>
      <c r="G5" s="6"/>
      <c r="H5" s="6"/>
      <c r="I5" s="6"/>
    </row>
    <row r="6" spans="1:10" x14ac:dyDescent="0.3">
      <c r="A6" s="42" t="s">
        <v>108</v>
      </c>
      <c r="B6" s="42"/>
      <c r="C6" s="45"/>
      <c r="D6" s="45"/>
      <c r="E6" s="5" t="s">
        <v>125</v>
      </c>
      <c r="F6" s="5"/>
      <c r="G6" s="5"/>
      <c r="H6" s="5"/>
      <c r="I6" s="5"/>
    </row>
    <row r="7" spans="1:10" x14ac:dyDescent="0.3">
      <c r="A7" s="43" t="s">
        <v>1</v>
      </c>
      <c r="B7" s="43"/>
      <c r="C7" s="46" t="str">
        <f>IF(OR(ISBLANK(C2),ISBLANK(C3),ISBLANK(C4), ISBLANK(C5), ISBLANK(C6)),"",CONCATENATE(C2,"_",C3,TEXT(C5,"000"),"_",C4,"_Batch",C6))</f>
        <v/>
      </c>
      <c r="D7" s="46"/>
      <c r="E7" s="5" t="s">
        <v>136</v>
      </c>
      <c r="F7" s="5"/>
      <c r="G7" s="5"/>
      <c r="H7" s="5"/>
      <c r="I7" s="5"/>
    </row>
    <row r="8" spans="1:10" ht="16.2" thickBot="1" x14ac:dyDescent="0.35">
      <c r="J8" s="7"/>
    </row>
    <row r="9" spans="1:10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137</v>
      </c>
      <c r="G9" s="28" t="s">
        <v>133</v>
      </c>
      <c r="H9" s="28" t="s">
        <v>134</v>
      </c>
      <c r="I9" s="28" t="s">
        <v>135</v>
      </c>
      <c r="J9" s="29" t="s">
        <v>132</v>
      </c>
    </row>
    <row r="10" spans="1:10" x14ac:dyDescent="0.3">
      <c r="A10" s="30" t="s">
        <v>4</v>
      </c>
      <c r="B10" s="22"/>
      <c r="C10" s="19">
        <v>1</v>
      </c>
      <c r="D10" s="3"/>
      <c r="E10" s="9"/>
      <c r="F10" s="51" t="str">
        <f>CONCATENATE("barcode",TEXT(tbl_SeqLib[[#This Row],[Barcode]],"00"))</f>
        <v>barcode01</v>
      </c>
      <c r="G10" s="31" t="b">
        <f>IF(COUNTIF(tbl_SeqLib[Barcode],tbl_SeqLib[[#This Row],[Barcode]])&gt;1,TRUE,FALSE)</f>
        <v>0</v>
      </c>
      <c r="H10" s="31" t="b">
        <f>IF(OR(ISBLANK(tbl_SeqLib[[#This Row],[Sample ID]]),ISBLANK(tbl_SeqLib[[#This Row],[Barcode]]),ISBLANK(tbl_SeqLib[[#This Row],[Sample Type]])),FALSE, TRUE)</f>
        <v>0</v>
      </c>
      <c r="I10" s="31" t="b">
        <f>IF(AND(ISBLANK(tbl_SeqLib[[#This Row],[Sample ID]]),ISBLANK(tbl_SeqLib[[#This Row],[Sample Type]]),ISBLANK(tbl_SeqLib[[#This Row],[PCR '[DNA'] (ng / µl)]])),FALSE,TRUE)</f>
        <v>0</v>
      </c>
      <c r="J10" s="32" t="str">
        <f>IF(tbl_SeqLib[[#This Row],[Duplicate Barcode]],"DUPLICATE BARCODE",IF(AND(tbl_SeqLib[[#This Row],[Data entered]],NOT(tbl_SeqLib[[#This Row],[Valid Entry]])),"Incomplete Entry",""))</f>
        <v/>
      </c>
    </row>
    <row r="11" spans="1:10" s="1" customFormat="1" x14ac:dyDescent="0.3">
      <c r="A11" s="33" t="s">
        <v>5</v>
      </c>
      <c r="B11" s="23"/>
      <c r="C11" s="20">
        <v>2</v>
      </c>
      <c r="D11" s="2"/>
      <c r="E11" s="10"/>
      <c r="F11" s="52" t="str">
        <f>CONCATENATE("barcode",TEXT(tbl_SeqLib[[#This Row],[Barcode]],"00"))</f>
        <v>barcode02</v>
      </c>
      <c r="G11" s="25" t="b">
        <f>IF(COUNTIF(tbl_SeqLib[Barcode],tbl_SeqLib[[#This Row],[Barcode]])&gt;1,TRUE,FALSE)</f>
        <v>0</v>
      </c>
      <c r="H11" s="25" t="b">
        <f>IF(OR(ISBLANK(tbl_SeqLib[[#This Row],[Sample ID]]),ISBLANK(tbl_SeqLib[[#This Row],[Barcode]]),ISBLANK(tbl_SeqLib[[#This Row],[Sample Type]])),FALSE, TRUE)</f>
        <v>0</v>
      </c>
      <c r="I11" s="25" t="b">
        <f>IF(AND(ISBLANK(tbl_SeqLib[[#This Row],[Sample ID]]),ISBLANK(tbl_SeqLib[[#This Row],[Sample Type]]),ISBLANK(tbl_SeqLib[[#This Row],[PCR '[DNA'] (ng / µl)]])),FALSE,TRUE)</f>
        <v>0</v>
      </c>
      <c r="J11" s="34" t="str">
        <f>IF(tbl_SeqLib[[#This Row],[Duplicate Barcode]],"DUPLICATE BARCODE",IF(AND(tbl_SeqLib[[#This Row],[Data entered]],NOT(tbl_SeqLib[[#This Row],[Valid Entry]])),"Incomplete Entry",""))</f>
        <v/>
      </c>
    </row>
    <row r="12" spans="1:10" ht="15.75" customHeight="1" x14ac:dyDescent="0.3">
      <c r="A12" s="33" t="s">
        <v>6</v>
      </c>
      <c r="B12" s="23"/>
      <c r="C12" s="20">
        <v>3</v>
      </c>
      <c r="D12" s="2"/>
      <c r="E12" s="10"/>
      <c r="F12" s="52" t="str">
        <f>CONCATENATE("barcode",TEXT(tbl_SeqLib[[#This Row],[Barcode]],"00"))</f>
        <v>barcode03</v>
      </c>
      <c r="G12" s="25" t="b">
        <f>IF(COUNTIF(tbl_SeqLib[Barcode],tbl_SeqLib[[#This Row],[Barcode]])&gt;1,TRUE,FALSE)</f>
        <v>0</v>
      </c>
      <c r="H12" s="25" t="b">
        <f>IF(OR(ISBLANK(tbl_SeqLib[[#This Row],[Sample ID]]),ISBLANK(tbl_SeqLib[[#This Row],[Barcode]]),ISBLANK(tbl_SeqLib[[#This Row],[Sample Type]])),FALSE, TRUE)</f>
        <v>0</v>
      </c>
      <c r="I12" s="25" t="b">
        <f>IF(AND(ISBLANK(tbl_SeqLib[[#This Row],[Sample ID]]),ISBLANK(tbl_SeqLib[[#This Row],[Sample Type]]),ISBLANK(tbl_SeqLib[[#This Row],[PCR '[DNA'] (ng / µl)]])),FALSE,TRUE)</f>
        <v>0</v>
      </c>
      <c r="J12" s="34" t="str">
        <f>IF(tbl_SeqLib[[#This Row],[Duplicate Barcode]],"DUPLICATE BARCODE",IF(AND(tbl_SeqLib[[#This Row],[Data entered]],NOT(tbl_SeqLib[[#This Row],[Valid Entry]])),"Incomplete Entry",""))</f>
        <v/>
      </c>
    </row>
    <row r="13" spans="1:10" ht="15.75" customHeight="1" x14ac:dyDescent="0.3">
      <c r="A13" s="33" t="s">
        <v>7</v>
      </c>
      <c r="B13" s="23"/>
      <c r="C13" s="20">
        <v>4</v>
      </c>
      <c r="D13" s="2"/>
      <c r="E13" s="10"/>
      <c r="F13" s="52" t="str">
        <f>CONCATENATE("barcode",TEXT(tbl_SeqLib[[#This Row],[Barcode]],"00"))</f>
        <v>barcode04</v>
      </c>
      <c r="G13" s="25" t="b">
        <f>IF(COUNTIF(tbl_SeqLib[Barcode],tbl_SeqLib[[#This Row],[Barcode]])&gt;1,TRUE,FALSE)</f>
        <v>0</v>
      </c>
      <c r="H13" s="25" t="b">
        <f>IF(OR(ISBLANK(tbl_SeqLib[[#This Row],[Sample ID]]),ISBLANK(tbl_SeqLib[[#This Row],[Barcode]]),ISBLANK(tbl_SeqLib[[#This Row],[Sample Type]])),FALSE, TRUE)</f>
        <v>0</v>
      </c>
      <c r="I13" s="25" t="b">
        <f>IF(AND(ISBLANK(tbl_SeqLib[[#This Row],[Sample ID]]),ISBLANK(tbl_SeqLib[[#This Row],[Sample Type]]),ISBLANK(tbl_SeqLib[[#This Row],[PCR '[DNA'] (ng / µl)]])),FALSE,TRUE)</f>
        <v>0</v>
      </c>
      <c r="J13" s="34" t="str">
        <f>IF(tbl_SeqLib[[#This Row],[Duplicate Barcode]],"DUPLICATE BARCODE",IF(AND(tbl_SeqLib[[#This Row],[Data entered]],NOT(tbl_SeqLib[[#This Row],[Valid Entry]])),"Incomplete Entry",""))</f>
        <v/>
      </c>
    </row>
    <row r="14" spans="1:10" ht="15.75" customHeight="1" x14ac:dyDescent="0.3">
      <c r="A14" s="33" t="s">
        <v>8</v>
      </c>
      <c r="B14" s="23"/>
      <c r="C14" s="20">
        <v>5</v>
      </c>
      <c r="D14" s="2"/>
      <c r="E14" s="10"/>
      <c r="F14" s="52" t="str">
        <f>CONCATENATE("barcode",TEXT(tbl_SeqLib[[#This Row],[Barcode]],"00"))</f>
        <v>barcode05</v>
      </c>
      <c r="G14" s="25" t="b">
        <f>IF(COUNTIF(tbl_SeqLib[Barcode],tbl_SeqLib[[#This Row],[Barcode]])&gt;1,TRUE,FALSE)</f>
        <v>0</v>
      </c>
      <c r="H14" s="25" t="b">
        <f>IF(OR(ISBLANK(tbl_SeqLib[[#This Row],[Sample ID]]),ISBLANK(tbl_SeqLib[[#This Row],[Barcode]]),ISBLANK(tbl_SeqLib[[#This Row],[Sample Type]])),FALSE, TRUE)</f>
        <v>0</v>
      </c>
      <c r="I14" s="25" t="b">
        <f>IF(AND(ISBLANK(tbl_SeqLib[[#This Row],[Sample ID]]),ISBLANK(tbl_SeqLib[[#This Row],[Sample Type]]),ISBLANK(tbl_SeqLib[[#This Row],[PCR '[DNA'] (ng / µl)]])),FALSE,TRUE)</f>
        <v>0</v>
      </c>
      <c r="J14" s="34" t="str">
        <f>IF(tbl_SeqLib[[#This Row],[Duplicate Barcode]],"DUPLICATE BARCODE",IF(AND(tbl_SeqLib[[#This Row],[Data entered]],NOT(tbl_SeqLib[[#This Row],[Valid Entry]])),"Incomplete Entry",""))</f>
        <v/>
      </c>
    </row>
    <row r="15" spans="1:10" ht="15.75" customHeight="1" x14ac:dyDescent="0.3">
      <c r="A15" s="33" t="s">
        <v>9</v>
      </c>
      <c r="B15" s="23"/>
      <c r="C15" s="20">
        <v>6</v>
      </c>
      <c r="D15" s="2"/>
      <c r="E15" s="10"/>
      <c r="F15" s="52" t="str">
        <f>CONCATENATE("barcode",TEXT(tbl_SeqLib[[#This Row],[Barcode]],"00"))</f>
        <v>barcode06</v>
      </c>
      <c r="G15" s="25" t="b">
        <f>IF(COUNTIF(tbl_SeqLib[Barcode],tbl_SeqLib[[#This Row],[Barcode]])&gt;1,TRUE,FALSE)</f>
        <v>0</v>
      </c>
      <c r="H15" s="25" t="b">
        <f>IF(OR(ISBLANK(tbl_SeqLib[[#This Row],[Sample ID]]),ISBLANK(tbl_SeqLib[[#This Row],[Barcode]]),ISBLANK(tbl_SeqLib[[#This Row],[Sample Type]])),FALSE, TRUE)</f>
        <v>0</v>
      </c>
      <c r="I15" s="25" t="b">
        <f>IF(AND(ISBLANK(tbl_SeqLib[[#This Row],[Sample ID]]),ISBLANK(tbl_SeqLib[[#This Row],[Sample Type]]),ISBLANK(tbl_SeqLib[[#This Row],[PCR '[DNA'] (ng / µl)]])),FALSE,TRUE)</f>
        <v>0</v>
      </c>
      <c r="J15" s="34" t="str">
        <f>IF(tbl_SeqLib[[#This Row],[Duplicate Barcode]],"DUPLICATE BARCODE",IF(AND(tbl_SeqLib[[#This Row],[Data entered]],NOT(tbl_SeqLib[[#This Row],[Valid Entry]])),"Incomplete Entry",""))</f>
        <v/>
      </c>
    </row>
    <row r="16" spans="1:10" ht="15.75" customHeight="1" x14ac:dyDescent="0.3">
      <c r="A16" s="33" t="s">
        <v>10</v>
      </c>
      <c r="B16" s="23"/>
      <c r="C16" s="20">
        <v>7</v>
      </c>
      <c r="D16" s="2"/>
      <c r="E16" s="10"/>
      <c r="F16" s="52" t="str">
        <f>CONCATENATE("barcode",TEXT(tbl_SeqLib[[#This Row],[Barcode]],"00"))</f>
        <v>barcode07</v>
      </c>
      <c r="G16" s="25" t="b">
        <f>IF(COUNTIF(tbl_SeqLib[Barcode],tbl_SeqLib[[#This Row],[Barcode]])&gt;1,TRUE,FALSE)</f>
        <v>0</v>
      </c>
      <c r="H16" s="25" t="b">
        <f>IF(OR(ISBLANK(tbl_SeqLib[[#This Row],[Sample ID]]),ISBLANK(tbl_SeqLib[[#This Row],[Barcode]]),ISBLANK(tbl_SeqLib[[#This Row],[Sample Type]])),FALSE, TRUE)</f>
        <v>0</v>
      </c>
      <c r="I16" s="25" t="b">
        <f>IF(AND(ISBLANK(tbl_SeqLib[[#This Row],[Sample ID]]),ISBLANK(tbl_SeqLib[[#This Row],[Sample Type]]),ISBLANK(tbl_SeqLib[[#This Row],[PCR '[DNA'] (ng / µl)]])),FALSE,TRUE)</f>
        <v>0</v>
      </c>
      <c r="J16" s="34" t="str">
        <f>IF(tbl_SeqLib[[#This Row],[Duplicate Barcode]],"DUPLICATE BARCODE",IF(AND(tbl_SeqLib[[#This Row],[Data entered]],NOT(tbl_SeqLib[[#This Row],[Valid Entry]])),"Incomplete Entry",""))</f>
        <v/>
      </c>
    </row>
    <row r="17" spans="1:10" ht="15.75" customHeight="1" thickBot="1" x14ac:dyDescent="0.35">
      <c r="A17" s="35" t="s">
        <v>11</v>
      </c>
      <c r="B17" s="24"/>
      <c r="C17" s="21">
        <v>8</v>
      </c>
      <c r="D17" s="4"/>
      <c r="E17" s="11"/>
      <c r="F17" s="53" t="str">
        <f>CONCATENATE("barcode",TEXT(tbl_SeqLib[[#This Row],[Barcode]],"00"))</f>
        <v>barcode08</v>
      </c>
      <c r="G17" s="36" t="b">
        <f>IF(COUNTIF(tbl_SeqLib[Barcode],tbl_SeqLib[[#This Row],[Barcode]])&gt;1,TRUE,FALSE)</f>
        <v>0</v>
      </c>
      <c r="H17" s="36" t="b">
        <f>IF(OR(ISBLANK(tbl_SeqLib[[#This Row],[Sample ID]]),ISBLANK(tbl_SeqLib[[#This Row],[Barcode]]),ISBLANK(tbl_SeqLib[[#This Row],[Sample Type]])),FALSE, TRUE)</f>
        <v>0</v>
      </c>
      <c r="I17" s="36" t="b">
        <f>IF(AND(ISBLANK(tbl_SeqLib[[#This Row],[Sample ID]]),ISBLANK(tbl_SeqLib[[#This Row],[Sample Type]]),ISBLANK(tbl_SeqLib[[#This Row],[PCR '[DNA'] (ng / µl)]])),FALSE,TRUE)</f>
        <v>0</v>
      </c>
      <c r="J17" s="37" t="str">
        <f>IF(tbl_SeqLib[[#This Row],[Duplicate Barcode]],"DUPLICATE BARCODE",IF(AND(tbl_SeqLib[[#This Row],[Data entered]],NOT(tbl_SeqLib[[#This Row],[Valid Entry]])),"Incomplete Entry",""))</f>
        <v/>
      </c>
    </row>
    <row r="18" spans="1:10" ht="15.75" customHeight="1" x14ac:dyDescent="0.3">
      <c r="A18" s="30" t="s">
        <v>12</v>
      </c>
      <c r="B18" s="22"/>
      <c r="C18" s="19">
        <v>9</v>
      </c>
      <c r="D18" s="3"/>
      <c r="E18" s="9"/>
      <c r="F18" s="51" t="str">
        <f>CONCATENATE("barcode",TEXT(tbl_SeqLib[[#This Row],[Barcode]],"00"))</f>
        <v>barcode09</v>
      </c>
      <c r="G18" s="31" t="b">
        <f>IF(COUNTIF(tbl_SeqLib[Barcode],tbl_SeqLib[[#This Row],[Barcode]])&gt;1,TRUE,FALSE)</f>
        <v>0</v>
      </c>
      <c r="H18" s="31" t="b">
        <f>IF(OR(ISBLANK(tbl_SeqLib[[#This Row],[Sample ID]]),ISBLANK(tbl_SeqLib[[#This Row],[Barcode]]),ISBLANK(tbl_SeqLib[[#This Row],[Sample Type]])),FALSE, TRUE)</f>
        <v>0</v>
      </c>
      <c r="I18" s="31" t="b">
        <f>IF(AND(ISBLANK(tbl_SeqLib[[#This Row],[Sample ID]]),ISBLANK(tbl_SeqLib[[#This Row],[Sample Type]]),ISBLANK(tbl_SeqLib[[#This Row],[PCR '[DNA'] (ng / µl)]])),FALSE,TRUE)</f>
        <v>0</v>
      </c>
      <c r="J18" s="32" t="str">
        <f>IF(tbl_SeqLib[[#This Row],[Duplicate Barcode]],"DUPLICATE BARCODE",IF(AND(tbl_SeqLib[[#This Row],[Data entered]],NOT(tbl_SeqLib[[#This Row],[Valid Entry]])),"Incomplete Entry",""))</f>
        <v/>
      </c>
    </row>
    <row r="19" spans="1:10" ht="15.75" customHeight="1" x14ac:dyDescent="0.3">
      <c r="A19" s="33" t="s">
        <v>13</v>
      </c>
      <c r="B19" s="23"/>
      <c r="C19" s="20">
        <v>10</v>
      </c>
      <c r="D19" s="2"/>
      <c r="E19" s="10"/>
      <c r="F19" s="52" t="str">
        <f>CONCATENATE("barcode",TEXT(tbl_SeqLib[[#This Row],[Barcode]],"00"))</f>
        <v>barcode10</v>
      </c>
      <c r="G19" s="25" t="b">
        <f>IF(COUNTIF(tbl_SeqLib[Barcode],tbl_SeqLib[[#This Row],[Barcode]])&gt;1,TRUE,FALSE)</f>
        <v>0</v>
      </c>
      <c r="H19" s="25" t="b">
        <f>IF(OR(ISBLANK(tbl_SeqLib[[#This Row],[Sample ID]]),ISBLANK(tbl_SeqLib[[#This Row],[Barcode]]),ISBLANK(tbl_SeqLib[[#This Row],[Sample Type]])),FALSE, TRUE)</f>
        <v>0</v>
      </c>
      <c r="I19" s="25" t="b">
        <f>IF(AND(ISBLANK(tbl_SeqLib[[#This Row],[Sample ID]]),ISBLANK(tbl_SeqLib[[#This Row],[Sample Type]]),ISBLANK(tbl_SeqLib[[#This Row],[PCR '[DNA'] (ng / µl)]])),FALSE,TRUE)</f>
        <v>0</v>
      </c>
      <c r="J19" s="34" t="str">
        <f>IF(tbl_SeqLib[[#This Row],[Duplicate Barcode]],"DUPLICATE BARCODE",IF(AND(tbl_SeqLib[[#This Row],[Data entered]],NOT(tbl_SeqLib[[#This Row],[Valid Entry]])),"Incomplete Entry",""))</f>
        <v/>
      </c>
    </row>
    <row r="20" spans="1:10" ht="15.75" customHeight="1" x14ac:dyDescent="0.3">
      <c r="A20" s="33" t="s">
        <v>14</v>
      </c>
      <c r="B20" s="23"/>
      <c r="C20" s="20">
        <v>11</v>
      </c>
      <c r="D20" s="2"/>
      <c r="E20" s="10"/>
      <c r="F20" s="52" t="str">
        <f>CONCATENATE("barcode",TEXT(tbl_SeqLib[[#This Row],[Barcode]],"00"))</f>
        <v>barcode11</v>
      </c>
      <c r="G20" s="25" t="b">
        <f>IF(COUNTIF(tbl_SeqLib[Barcode],tbl_SeqLib[[#This Row],[Barcode]])&gt;1,TRUE,FALSE)</f>
        <v>0</v>
      </c>
      <c r="H20" s="25" t="b">
        <f>IF(OR(ISBLANK(tbl_SeqLib[[#This Row],[Sample ID]]),ISBLANK(tbl_SeqLib[[#This Row],[Barcode]]),ISBLANK(tbl_SeqLib[[#This Row],[Sample Type]])),FALSE, TRUE)</f>
        <v>0</v>
      </c>
      <c r="I20" s="25" t="b">
        <f>IF(AND(ISBLANK(tbl_SeqLib[[#This Row],[Sample ID]]),ISBLANK(tbl_SeqLib[[#This Row],[Sample Type]]),ISBLANK(tbl_SeqLib[[#This Row],[PCR '[DNA'] (ng / µl)]])),FALSE,TRUE)</f>
        <v>0</v>
      </c>
      <c r="J20" s="34" t="str">
        <f>IF(tbl_SeqLib[[#This Row],[Duplicate Barcode]],"DUPLICATE BARCODE",IF(AND(tbl_SeqLib[[#This Row],[Data entered]],NOT(tbl_SeqLib[[#This Row],[Valid Entry]])),"Incomplete Entry",""))</f>
        <v/>
      </c>
    </row>
    <row r="21" spans="1:10" ht="15.75" customHeight="1" x14ac:dyDescent="0.3">
      <c r="A21" s="33" t="s">
        <v>15</v>
      </c>
      <c r="B21" s="23"/>
      <c r="C21" s="20">
        <v>12</v>
      </c>
      <c r="D21" s="2"/>
      <c r="E21" s="10"/>
      <c r="F21" s="52" t="str">
        <f>CONCATENATE("barcode",TEXT(tbl_SeqLib[[#This Row],[Barcode]],"00"))</f>
        <v>barcode12</v>
      </c>
      <c r="G21" s="25" t="b">
        <f>IF(COUNTIF(tbl_SeqLib[Barcode],tbl_SeqLib[[#This Row],[Barcode]])&gt;1,TRUE,FALSE)</f>
        <v>0</v>
      </c>
      <c r="H21" s="25" t="b">
        <f>IF(OR(ISBLANK(tbl_SeqLib[[#This Row],[Sample ID]]),ISBLANK(tbl_SeqLib[[#This Row],[Barcode]]),ISBLANK(tbl_SeqLib[[#This Row],[Sample Type]])),FALSE, TRUE)</f>
        <v>0</v>
      </c>
      <c r="I21" s="25" t="b">
        <f>IF(AND(ISBLANK(tbl_SeqLib[[#This Row],[Sample ID]]),ISBLANK(tbl_SeqLib[[#This Row],[Sample Type]]),ISBLANK(tbl_SeqLib[[#This Row],[PCR '[DNA'] (ng / µl)]])),FALSE,TRUE)</f>
        <v>0</v>
      </c>
      <c r="J21" s="34" t="str">
        <f>IF(tbl_SeqLib[[#This Row],[Duplicate Barcode]],"DUPLICATE BARCODE",IF(AND(tbl_SeqLib[[#This Row],[Data entered]],NOT(tbl_SeqLib[[#This Row],[Valid Entry]])),"Incomplete Entry",""))</f>
        <v/>
      </c>
    </row>
    <row r="22" spans="1:10" ht="15.75" customHeight="1" x14ac:dyDescent="0.3">
      <c r="A22" s="33" t="s">
        <v>16</v>
      </c>
      <c r="B22" s="23"/>
      <c r="C22" s="20">
        <v>13</v>
      </c>
      <c r="D22" s="2"/>
      <c r="E22" s="10"/>
      <c r="F22" s="52" t="str">
        <f>CONCATENATE("barcode",TEXT(tbl_SeqLib[[#This Row],[Barcode]],"00"))</f>
        <v>barcode13</v>
      </c>
      <c r="G22" s="25" t="b">
        <f>IF(COUNTIF(tbl_SeqLib[Barcode],tbl_SeqLib[[#This Row],[Barcode]])&gt;1,TRUE,FALSE)</f>
        <v>0</v>
      </c>
      <c r="H22" s="25" t="b">
        <f>IF(OR(ISBLANK(tbl_SeqLib[[#This Row],[Sample ID]]),ISBLANK(tbl_SeqLib[[#This Row],[Barcode]]),ISBLANK(tbl_SeqLib[[#This Row],[Sample Type]])),FALSE, TRUE)</f>
        <v>0</v>
      </c>
      <c r="I22" s="25" t="b">
        <f>IF(AND(ISBLANK(tbl_SeqLib[[#This Row],[Sample ID]]),ISBLANK(tbl_SeqLib[[#This Row],[Sample Type]]),ISBLANK(tbl_SeqLib[[#This Row],[PCR '[DNA'] (ng / µl)]])),FALSE,TRUE)</f>
        <v>0</v>
      </c>
      <c r="J22" s="34" t="str">
        <f>IF(tbl_SeqLib[[#This Row],[Duplicate Barcode]],"DUPLICATE BARCODE",IF(AND(tbl_SeqLib[[#This Row],[Data entered]],NOT(tbl_SeqLib[[#This Row],[Valid Entry]])),"Incomplete Entry",""))</f>
        <v/>
      </c>
    </row>
    <row r="23" spans="1:10" ht="15.75" customHeight="1" x14ac:dyDescent="0.3">
      <c r="A23" s="33" t="s">
        <v>17</v>
      </c>
      <c r="B23" s="23"/>
      <c r="C23" s="20">
        <v>14</v>
      </c>
      <c r="D23" s="2"/>
      <c r="E23" s="10"/>
      <c r="F23" s="52" t="str">
        <f>CONCATENATE("barcode",TEXT(tbl_SeqLib[[#This Row],[Barcode]],"00"))</f>
        <v>barcode14</v>
      </c>
      <c r="G23" s="25" t="b">
        <f>IF(COUNTIF(tbl_SeqLib[Barcode],tbl_SeqLib[[#This Row],[Barcode]])&gt;1,TRUE,FALSE)</f>
        <v>0</v>
      </c>
      <c r="H23" s="25" t="b">
        <f>IF(OR(ISBLANK(tbl_SeqLib[[#This Row],[Sample ID]]),ISBLANK(tbl_SeqLib[[#This Row],[Barcode]]),ISBLANK(tbl_SeqLib[[#This Row],[Sample Type]])),FALSE, TRUE)</f>
        <v>0</v>
      </c>
      <c r="I23" s="25" t="b">
        <f>IF(AND(ISBLANK(tbl_SeqLib[[#This Row],[Sample ID]]),ISBLANK(tbl_SeqLib[[#This Row],[Sample Type]]),ISBLANK(tbl_SeqLib[[#This Row],[PCR '[DNA'] (ng / µl)]])),FALSE,TRUE)</f>
        <v>0</v>
      </c>
      <c r="J23" s="34" t="str">
        <f>IF(tbl_SeqLib[[#This Row],[Duplicate Barcode]],"DUPLICATE BARCODE",IF(AND(tbl_SeqLib[[#This Row],[Data entered]],NOT(tbl_SeqLib[[#This Row],[Valid Entry]])),"Incomplete Entry",""))</f>
        <v/>
      </c>
    </row>
    <row r="24" spans="1:10" ht="15.75" customHeight="1" x14ac:dyDescent="0.3">
      <c r="A24" s="33" t="s">
        <v>18</v>
      </c>
      <c r="B24" s="23"/>
      <c r="C24" s="20">
        <v>15</v>
      </c>
      <c r="D24" s="2"/>
      <c r="E24" s="10"/>
      <c r="F24" s="52" t="str">
        <f>CONCATENATE("barcode",TEXT(tbl_SeqLib[[#This Row],[Barcode]],"00"))</f>
        <v>barcode15</v>
      </c>
      <c r="G24" s="25" t="b">
        <f>IF(COUNTIF(tbl_SeqLib[Barcode],tbl_SeqLib[[#This Row],[Barcode]])&gt;1,TRUE,FALSE)</f>
        <v>0</v>
      </c>
      <c r="H24" s="25" t="b">
        <f>IF(OR(ISBLANK(tbl_SeqLib[[#This Row],[Sample ID]]),ISBLANK(tbl_SeqLib[[#This Row],[Barcode]]),ISBLANK(tbl_SeqLib[[#This Row],[Sample Type]])),FALSE, TRUE)</f>
        <v>0</v>
      </c>
      <c r="I24" s="25" t="b">
        <f>IF(AND(ISBLANK(tbl_SeqLib[[#This Row],[Sample ID]]),ISBLANK(tbl_SeqLib[[#This Row],[Sample Type]]),ISBLANK(tbl_SeqLib[[#This Row],[PCR '[DNA'] (ng / µl)]])),FALSE,TRUE)</f>
        <v>0</v>
      </c>
      <c r="J24" s="34" t="str">
        <f>IF(tbl_SeqLib[[#This Row],[Duplicate Barcode]],"DUPLICATE BARCODE",IF(AND(tbl_SeqLib[[#This Row],[Data entered]],NOT(tbl_SeqLib[[#This Row],[Valid Entry]])),"Incomplete Entry",""))</f>
        <v/>
      </c>
    </row>
    <row r="25" spans="1:10" ht="15.75" customHeight="1" thickBot="1" x14ac:dyDescent="0.35">
      <c r="A25" s="35" t="s">
        <v>19</v>
      </c>
      <c r="B25" s="24"/>
      <c r="C25" s="21">
        <v>16</v>
      </c>
      <c r="D25" s="4"/>
      <c r="E25" s="11"/>
      <c r="F25" s="53" t="str">
        <f>CONCATENATE("barcode",TEXT(tbl_SeqLib[[#This Row],[Barcode]],"00"))</f>
        <v>barcode16</v>
      </c>
      <c r="G25" s="36" t="b">
        <f>IF(COUNTIF(tbl_SeqLib[Barcode],tbl_SeqLib[[#This Row],[Barcode]])&gt;1,TRUE,FALSE)</f>
        <v>0</v>
      </c>
      <c r="H25" s="36" t="b">
        <f>IF(OR(ISBLANK(tbl_SeqLib[[#This Row],[Sample ID]]),ISBLANK(tbl_SeqLib[[#This Row],[Barcode]]),ISBLANK(tbl_SeqLib[[#This Row],[Sample Type]])),FALSE, TRUE)</f>
        <v>0</v>
      </c>
      <c r="I25" s="36" t="b">
        <f>IF(AND(ISBLANK(tbl_SeqLib[[#This Row],[Sample ID]]),ISBLANK(tbl_SeqLib[[#This Row],[Sample Type]]),ISBLANK(tbl_SeqLib[[#This Row],[PCR '[DNA'] (ng / µl)]])),FALSE,TRUE)</f>
        <v>0</v>
      </c>
      <c r="J25" s="37" t="str">
        <f>IF(tbl_SeqLib[[#This Row],[Duplicate Barcode]],"DUPLICATE BARCODE",IF(AND(tbl_SeqLib[[#This Row],[Data entered]],NOT(tbl_SeqLib[[#This Row],[Valid Entry]])),"Incomplete Entry",""))</f>
        <v/>
      </c>
    </row>
    <row r="26" spans="1:10" ht="15.75" customHeight="1" x14ac:dyDescent="0.3">
      <c r="A26" s="30" t="s">
        <v>20</v>
      </c>
      <c r="B26" s="22"/>
      <c r="C26" s="19">
        <v>17</v>
      </c>
      <c r="D26" s="3"/>
      <c r="E26" s="9"/>
      <c r="F26" s="51" t="str">
        <f>CONCATENATE("barcode",TEXT(tbl_SeqLib[[#This Row],[Barcode]],"00"))</f>
        <v>barcode17</v>
      </c>
      <c r="G26" s="31" t="b">
        <f>IF(COUNTIF(tbl_SeqLib[Barcode],tbl_SeqLib[[#This Row],[Barcode]])&gt;1,TRUE,FALSE)</f>
        <v>0</v>
      </c>
      <c r="H26" s="31" t="b">
        <f>IF(OR(ISBLANK(tbl_SeqLib[[#This Row],[Sample ID]]),ISBLANK(tbl_SeqLib[[#This Row],[Barcode]]),ISBLANK(tbl_SeqLib[[#This Row],[Sample Type]])),FALSE, TRUE)</f>
        <v>0</v>
      </c>
      <c r="I26" s="31" t="b">
        <f>IF(AND(ISBLANK(tbl_SeqLib[[#This Row],[Sample ID]]),ISBLANK(tbl_SeqLib[[#This Row],[Sample Type]]),ISBLANK(tbl_SeqLib[[#This Row],[PCR '[DNA'] (ng / µl)]])),FALSE,TRUE)</f>
        <v>0</v>
      </c>
      <c r="J26" s="32" t="str">
        <f>IF(tbl_SeqLib[[#This Row],[Duplicate Barcode]],"DUPLICATE BARCODE",IF(AND(tbl_SeqLib[[#This Row],[Data entered]],NOT(tbl_SeqLib[[#This Row],[Valid Entry]])),"Incomplete Entry",""))</f>
        <v/>
      </c>
    </row>
    <row r="27" spans="1:10" ht="15.75" customHeight="1" x14ac:dyDescent="0.3">
      <c r="A27" s="33" t="s">
        <v>21</v>
      </c>
      <c r="B27" s="23"/>
      <c r="C27" s="20">
        <v>18</v>
      </c>
      <c r="D27" s="2"/>
      <c r="E27" s="10"/>
      <c r="F27" s="52" t="str">
        <f>CONCATENATE("barcode",TEXT(tbl_SeqLib[[#This Row],[Barcode]],"00"))</f>
        <v>barcode18</v>
      </c>
      <c r="G27" s="25" t="b">
        <f>IF(COUNTIF(tbl_SeqLib[Barcode],tbl_SeqLib[[#This Row],[Barcode]])&gt;1,TRUE,FALSE)</f>
        <v>0</v>
      </c>
      <c r="H27" s="25" t="b">
        <f>IF(OR(ISBLANK(tbl_SeqLib[[#This Row],[Sample ID]]),ISBLANK(tbl_SeqLib[[#This Row],[Barcode]]),ISBLANK(tbl_SeqLib[[#This Row],[Sample Type]])),FALSE, TRUE)</f>
        <v>0</v>
      </c>
      <c r="I27" s="25" t="b">
        <f>IF(AND(ISBLANK(tbl_SeqLib[[#This Row],[Sample ID]]),ISBLANK(tbl_SeqLib[[#This Row],[Sample Type]]),ISBLANK(tbl_SeqLib[[#This Row],[PCR '[DNA'] (ng / µl)]])),FALSE,TRUE)</f>
        <v>0</v>
      </c>
      <c r="J27" s="34" t="str">
        <f>IF(tbl_SeqLib[[#This Row],[Duplicate Barcode]],"DUPLICATE BARCODE",IF(AND(tbl_SeqLib[[#This Row],[Data entered]],NOT(tbl_SeqLib[[#This Row],[Valid Entry]])),"Incomplete Entry",""))</f>
        <v/>
      </c>
    </row>
    <row r="28" spans="1:10" ht="15.75" customHeight="1" x14ac:dyDescent="0.3">
      <c r="A28" s="33" t="s">
        <v>22</v>
      </c>
      <c r="B28" s="23"/>
      <c r="C28" s="20">
        <v>19</v>
      </c>
      <c r="D28" s="2"/>
      <c r="E28" s="10"/>
      <c r="F28" s="52" t="str">
        <f>CONCATENATE("barcode",TEXT(tbl_SeqLib[[#This Row],[Barcode]],"00"))</f>
        <v>barcode19</v>
      </c>
      <c r="G28" s="25" t="b">
        <f>IF(COUNTIF(tbl_SeqLib[Barcode],tbl_SeqLib[[#This Row],[Barcode]])&gt;1,TRUE,FALSE)</f>
        <v>0</v>
      </c>
      <c r="H28" s="25" t="b">
        <f>IF(OR(ISBLANK(tbl_SeqLib[[#This Row],[Sample ID]]),ISBLANK(tbl_SeqLib[[#This Row],[Barcode]]),ISBLANK(tbl_SeqLib[[#This Row],[Sample Type]])),FALSE, TRUE)</f>
        <v>0</v>
      </c>
      <c r="I28" s="25" t="b">
        <f>IF(AND(ISBLANK(tbl_SeqLib[[#This Row],[Sample ID]]),ISBLANK(tbl_SeqLib[[#This Row],[Sample Type]]),ISBLANK(tbl_SeqLib[[#This Row],[PCR '[DNA'] (ng / µl)]])),FALSE,TRUE)</f>
        <v>0</v>
      </c>
      <c r="J28" s="34" t="str">
        <f>IF(tbl_SeqLib[[#This Row],[Duplicate Barcode]],"DUPLICATE BARCODE",IF(AND(tbl_SeqLib[[#This Row],[Data entered]],NOT(tbl_SeqLib[[#This Row],[Valid Entry]])),"Incomplete Entry",""))</f>
        <v/>
      </c>
    </row>
    <row r="29" spans="1:10" ht="15.75" customHeight="1" x14ac:dyDescent="0.3">
      <c r="A29" s="33" t="s">
        <v>23</v>
      </c>
      <c r="B29" s="23"/>
      <c r="C29" s="20">
        <v>20</v>
      </c>
      <c r="D29" s="2"/>
      <c r="E29" s="10"/>
      <c r="F29" s="52" t="str">
        <f>CONCATENATE("barcode",TEXT(tbl_SeqLib[[#This Row],[Barcode]],"00"))</f>
        <v>barcode20</v>
      </c>
      <c r="G29" s="25" t="b">
        <f>IF(COUNTIF(tbl_SeqLib[Barcode],tbl_SeqLib[[#This Row],[Barcode]])&gt;1,TRUE,FALSE)</f>
        <v>0</v>
      </c>
      <c r="H29" s="25" t="b">
        <f>IF(OR(ISBLANK(tbl_SeqLib[[#This Row],[Sample ID]]),ISBLANK(tbl_SeqLib[[#This Row],[Barcode]]),ISBLANK(tbl_SeqLib[[#This Row],[Sample Type]])),FALSE, TRUE)</f>
        <v>0</v>
      </c>
      <c r="I29" s="25" t="b">
        <f>IF(AND(ISBLANK(tbl_SeqLib[[#This Row],[Sample ID]]),ISBLANK(tbl_SeqLib[[#This Row],[Sample Type]]),ISBLANK(tbl_SeqLib[[#This Row],[PCR '[DNA'] (ng / µl)]])),FALSE,TRUE)</f>
        <v>0</v>
      </c>
      <c r="J29" s="34" t="str">
        <f>IF(tbl_SeqLib[[#This Row],[Duplicate Barcode]],"DUPLICATE BARCODE",IF(AND(tbl_SeqLib[[#This Row],[Data entered]],NOT(tbl_SeqLib[[#This Row],[Valid Entry]])),"Incomplete Entry",""))</f>
        <v/>
      </c>
    </row>
    <row r="30" spans="1:10" ht="15.75" customHeight="1" x14ac:dyDescent="0.3">
      <c r="A30" s="33" t="s">
        <v>24</v>
      </c>
      <c r="B30" s="23"/>
      <c r="C30" s="20">
        <v>21</v>
      </c>
      <c r="D30" s="2"/>
      <c r="E30" s="10"/>
      <c r="F30" s="52" t="str">
        <f>CONCATENATE("barcode",TEXT(tbl_SeqLib[[#This Row],[Barcode]],"00"))</f>
        <v>barcode21</v>
      </c>
      <c r="G30" s="25" t="b">
        <f>IF(COUNTIF(tbl_SeqLib[Barcode],tbl_SeqLib[[#This Row],[Barcode]])&gt;1,TRUE,FALSE)</f>
        <v>0</v>
      </c>
      <c r="H30" s="25" t="b">
        <f>IF(OR(ISBLANK(tbl_SeqLib[[#This Row],[Sample ID]]),ISBLANK(tbl_SeqLib[[#This Row],[Barcode]]),ISBLANK(tbl_SeqLib[[#This Row],[Sample Type]])),FALSE, TRUE)</f>
        <v>0</v>
      </c>
      <c r="I30" s="25" t="b">
        <f>IF(AND(ISBLANK(tbl_SeqLib[[#This Row],[Sample ID]]),ISBLANK(tbl_SeqLib[[#This Row],[Sample Type]]),ISBLANK(tbl_SeqLib[[#This Row],[PCR '[DNA'] (ng / µl)]])),FALSE,TRUE)</f>
        <v>0</v>
      </c>
      <c r="J30" s="34" t="str">
        <f>IF(tbl_SeqLib[[#This Row],[Duplicate Barcode]],"DUPLICATE BARCODE",IF(AND(tbl_SeqLib[[#This Row],[Data entered]],NOT(tbl_SeqLib[[#This Row],[Valid Entry]])),"Incomplete Entry",""))</f>
        <v/>
      </c>
    </row>
    <row r="31" spans="1:10" ht="15.75" customHeight="1" x14ac:dyDescent="0.3">
      <c r="A31" s="33" t="s">
        <v>25</v>
      </c>
      <c r="B31" s="23"/>
      <c r="C31" s="20">
        <v>22</v>
      </c>
      <c r="D31" s="2"/>
      <c r="E31" s="10"/>
      <c r="F31" s="52" t="str">
        <f>CONCATENATE("barcode",TEXT(tbl_SeqLib[[#This Row],[Barcode]],"00"))</f>
        <v>barcode22</v>
      </c>
      <c r="G31" s="25" t="b">
        <f>IF(COUNTIF(tbl_SeqLib[Barcode],tbl_SeqLib[[#This Row],[Barcode]])&gt;1,TRUE,FALSE)</f>
        <v>0</v>
      </c>
      <c r="H31" s="25" t="b">
        <f>IF(OR(ISBLANK(tbl_SeqLib[[#This Row],[Sample ID]]),ISBLANK(tbl_SeqLib[[#This Row],[Barcode]]),ISBLANK(tbl_SeqLib[[#This Row],[Sample Type]])),FALSE, TRUE)</f>
        <v>0</v>
      </c>
      <c r="I31" s="25" t="b">
        <f>IF(AND(ISBLANK(tbl_SeqLib[[#This Row],[Sample ID]]),ISBLANK(tbl_SeqLib[[#This Row],[Sample Type]]),ISBLANK(tbl_SeqLib[[#This Row],[PCR '[DNA'] (ng / µl)]])),FALSE,TRUE)</f>
        <v>0</v>
      </c>
      <c r="J31" s="34" t="str">
        <f>IF(tbl_SeqLib[[#This Row],[Duplicate Barcode]],"DUPLICATE BARCODE",IF(AND(tbl_SeqLib[[#This Row],[Data entered]],NOT(tbl_SeqLib[[#This Row],[Valid Entry]])),"Incomplete Entry",""))</f>
        <v/>
      </c>
    </row>
    <row r="32" spans="1:10" ht="15.75" customHeight="1" x14ac:dyDescent="0.3">
      <c r="A32" s="33" t="s">
        <v>26</v>
      </c>
      <c r="B32" s="23"/>
      <c r="C32" s="20">
        <v>23</v>
      </c>
      <c r="D32" s="2"/>
      <c r="E32" s="10"/>
      <c r="F32" s="52" t="str">
        <f>CONCATENATE("barcode",TEXT(tbl_SeqLib[[#This Row],[Barcode]],"00"))</f>
        <v>barcode23</v>
      </c>
      <c r="G32" s="25" t="b">
        <f>IF(COUNTIF(tbl_SeqLib[Barcode],tbl_SeqLib[[#This Row],[Barcode]])&gt;1,TRUE,FALSE)</f>
        <v>0</v>
      </c>
      <c r="H32" s="25" t="b">
        <f>IF(OR(ISBLANK(tbl_SeqLib[[#This Row],[Sample ID]]),ISBLANK(tbl_SeqLib[[#This Row],[Barcode]]),ISBLANK(tbl_SeqLib[[#This Row],[Sample Type]])),FALSE, TRUE)</f>
        <v>0</v>
      </c>
      <c r="I32" s="25" t="b">
        <f>IF(AND(ISBLANK(tbl_SeqLib[[#This Row],[Sample ID]]),ISBLANK(tbl_SeqLib[[#This Row],[Sample Type]]),ISBLANK(tbl_SeqLib[[#This Row],[PCR '[DNA'] (ng / µl)]])),FALSE,TRUE)</f>
        <v>0</v>
      </c>
      <c r="J32" s="34" t="str">
        <f>IF(tbl_SeqLib[[#This Row],[Duplicate Barcode]],"DUPLICATE BARCODE",IF(AND(tbl_SeqLib[[#This Row],[Data entered]],NOT(tbl_SeqLib[[#This Row],[Valid Entry]])),"Incomplete Entry",""))</f>
        <v/>
      </c>
    </row>
    <row r="33" spans="1:10" ht="15.75" customHeight="1" thickBot="1" x14ac:dyDescent="0.35">
      <c r="A33" s="35" t="s">
        <v>27</v>
      </c>
      <c r="B33" s="24"/>
      <c r="C33" s="21">
        <v>24</v>
      </c>
      <c r="D33" s="4"/>
      <c r="E33" s="11"/>
      <c r="F33" s="53" t="str">
        <f>CONCATENATE("barcode",TEXT(tbl_SeqLib[[#This Row],[Barcode]],"00"))</f>
        <v>barcode24</v>
      </c>
      <c r="G33" s="36" t="b">
        <f>IF(COUNTIF(tbl_SeqLib[Barcode],tbl_SeqLib[[#This Row],[Barcode]])&gt;1,TRUE,FALSE)</f>
        <v>0</v>
      </c>
      <c r="H33" s="36" t="b">
        <f>IF(OR(ISBLANK(tbl_SeqLib[[#This Row],[Sample ID]]),ISBLANK(tbl_SeqLib[[#This Row],[Barcode]]),ISBLANK(tbl_SeqLib[[#This Row],[Sample Type]])),FALSE, TRUE)</f>
        <v>0</v>
      </c>
      <c r="I33" s="36" t="b">
        <f>IF(AND(ISBLANK(tbl_SeqLib[[#This Row],[Sample ID]]),ISBLANK(tbl_SeqLib[[#This Row],[Sample Type]]),ISBLANK(tbl_SeqLib[[#This Row],[PCR '[DNA'] (ng / µl)]])),FALSE,TRUE)</f>
        <v>0</v>
      </c>
      <c r="J33" s="37" t="str">
        <f>IF(tbl_SeqLib[[#This Row],[Duplicate Barcode]],"DUPLICATE BARCODE",IF(AND(tbl_SeqLib[[#This Row],[Data entered]],NOT(tbl_SeqLib[[#This Row],[Valid Entry]])),"Incomplete Entry",""))</f>
        <v/>
      </c>
    </row>
    <row r="34" spans="1:10" ht="15.75" customHeight="1" x14ac:dyDescent="0.3">
      <c r="A34" s="30" t="s">
        <v>28</v>
      </c>
      <c r="B34" s="22"/>
      <c r="C34" s="19">
        <v>25</v>
      </c>
      <c r="D34" s="3"/>
      <c r="E34" s="9"/>
      <c r="F34" s="51" t="str">
        <f>CONCATENATE("barcode",TEXT(tbl_SeqLib[[#This Row],[Barcode]],"00"))</f>
        <v>barcode25</v>
      </c>
      <c r="G34" s="31" t="b">
        <f>IF(COUNTIF(tbl_SeqLib[Barcode],tbl_SeqLib[[#This Row],[Barcode]])&gt;1,TRUE,FALSE)</f>
        <v>0</v>
      </c>
      <c r="H34" s="31" t="b">
        <f>IF(OR(ISBLANK(tbl_SeqLib[[#This Row],[Sample ID]]),ISBLANK(tbl_SeqLib[[#This Row],[Barcode]]),ISBLANK(tbl_SeqLib[[#This Row],[Sample Type]])),FALSE, TRUE)</f>
        <v>0</v>
      </c>
      <c r="I34" s="31" t="b">
        <f>IF(AND(ISBLANK(tbl_SeqLib[[#This Row],[Sample ID]]),ISBLANK(tbl_SeqLib[[#This Row],[Sample Type]]),ISBLANK(tbl_SeqLib[[#This Row],[PCR '[DNA'] (ng / µl)]])),FALSE,TRUE)</f>
        <v>0</v>
      </c>
      <c r="J34" s="32" t="str">
        <f>IF(tbl_SeqLib[[#This Row],[Duplicate Barcode]],"DUPLICATE BARCODE",IF(AND(tbl_SeqLib[[#This Row],[Data entered]],NOT(tbl_SeqLib[[#This Row],[Valid Entry]])),"Incomplete Entry",""))</f>
        <v/>
      </c>
    </row>
    <row r="35" spans="1:10" ht="15.75" customHeight="1" x14ac:dyDescent="0.3">
      <c r="A35" s="33" t="s">
        <v>29</v>
      </c>
      <c r="B35" s="23"/>
      <c r="C35" s="20">
        <v>26</v>
      </c>
      <c r="D35" s="2"/>
      <c r="E35" s="10"/>
      <c r="F35" s="52" t="str">
        <f>CONCATENATE("barcode",TEXT(tbl_SeqLib[[#This Row],[Barcode]],"00"))</f>
        <v>barcode26</v>
      </c>
      <c r="G35" s="25" t="b">
        <f>IF(COUNTIF(tbl_SeqLib[Barcode],tbl_SeqLib[[#This Row],[Barcode]])&gt;1,TRUE,FALSE)</f>
        <v>0</v>
      </c>
      <c r="H35" s="25" t="b">
        <f>IF(OR(ISBLANK(tbl_SeqLib[[#This Row],[Sample ID]]),ISBLANK(tbl_SeqLib[[#This Row],[Barcode]]),ISBLANK(tbl_SeqLib[[#This Row],[Sample Type]])),FALSE, TRUE)</f>
        <v>0</v>
      </c>
      <c r="I35" s="25" t="b">
        <f>IF(AND(ISBLANK(tbl_SeqLib[[#This Row],[Sample ID]]),ISBLANK(tbl_SeqLib[[#This Row],[Sample Type]]),ISBLANK(tbl_SeqLib[[#This Row],[PCR '[DNA'] (ng / µl)]])),FALSE,TRUE)</f>
        <v>0</v>
      </c>
      <c r="J35" s="34" t="str">
        <f>IF(tbl_SeqLib[[#This Row],[Duplicate Barcode]],"DUPLICATE BARCODE",IF(AND(tbl_SeqLib[[#This Row],[Data entered]],NOT(tbl_SeqLib[[#This Row],[Valid Entry]])),"Incomplete Entry",""))</f>
        <v/>
      </c>
    </row>
    <row r="36" spans="1:10" ht="15.75" customHeight="1" x14ac:dyDescent="0.3">
      <c r="A36" s="33" t="s">
        <v>30</v>
      </c>
      <c r="B36" s="23"/>
      <c r="C36" s="20">
        <v>27</v>
      </c>
      <c r="D36" s="2"/>
      <c r="E36" s="10"/>
      <c r="F36" s="52" t="str">
        <f>CONCATENATE("barcode",TEXT(tbl_SeqLib[[#This Row],[Barcode]],"00"))</f>
        <v>barcode27</v>
      </c>
      <c r="G36" s="25" t="b">
        <f>IF(COUNTIF(tbl_SeqLib[Barcode],tbl_SeqLib[[#This Row],[Barcode]])&gt;1,TRUE,FALSE)</f>
        <v>0</v>
      </c>
      <c r="H36" s="25" t="b">
        <f>IF(OR(ISBLANK(tbl_SeqLib[[#This Row],[Sample ID]]),ISBLANK(tbl_SeqLib[[#This Row],[Barcode]]),ISBLANK(tbl_SeqLib[[#This Row],[Sample Type]])),FALSE, TRUE)</f>
        <v>0</v>
      </c>
      <c r="I36" s="25" t="b">
        <f>IF(AND(ISBLANK(tbl_SeqLib[[#This Row],[Sample ID]]),ISBLANK(tbl_SeqLib[[#This Row],[Sample Type]]),ISBLANK(tbl_SeqLib[[#This Row],[PCR '[DNA'] (ng / µl)]])),FALSE,TRUE)</f>
        <v>0</v>
      </c>
      <c r="J36" s="34" t="str">
        <f>IF(tbl_SeqLib[[#This Row],[Duplicate Barcode]],"DUPLICATE BARCODE",IF(AND(tbl_SeqLib[[#This Row],[Data entered]],NOT(tbl_SeqLib[[#This Row],[Valid Entry]])),"Incomplete Entry",""))</f>
        <v/>
      </c>
    </row>
    <row r="37" spans="1:10" ht="15.75" customHeight="1" x14ac:dyDescent="0.3">
      <c r="A37" s="33" t="s">
        <v>31</v>
      </c>
      <c r="B37" s="23"/>
      <c r="C37" s="20">
        <v>28</v>
      </c>
      <c r="D37" s="2"/>
      <c r="E37" s="10"/>
      <c r="F37" s="52" t="str">
        <f>CONCATENATE("barcode",TEXT(tbl_SeqLib[[#This Row],[Barcode]],"00"))</f>
        <v>barcode28</v>
      </c>
      <c r="G37" s="25" t="b">
        <f>IF(COUNTIF(tbl_SeqLib[Barcode],tbl_SeqLib[[#This Row],[Barcode]])&gt;1,TRUE,FALSE)</f>
        <v>0</v>
      </c>
      <c r="H37" s="25" t="b">
        <f>IF(OR(ISBLANK(tbl_SeqLib[[#This Row],[Sample ID]]),ISBLANK(tbl_SeqLib[[#This Row],[Barcode]]),ISBLANK(tbl_SeqLib[[#This Row],[Sample Type]])),FALSE, TRUE)</f>
        <v>0</v>
      </c>
      <c r="I37" s="25" t="b">
        <f>IF(AND(ISBLANK(tbl_SeqLib[[#This Row],[Sample ID]]),ISBLANK(tbl_SeqLib[[#This Row],[Sample Type]]),ISBLANK(tbl_SeqLib[[#This Row],[PCR '[DNA'] (ng / µl)]])),FALSE,TRUE)</f>
        <v>0</v>
      </c>
      <c r="J37" s="34" t="str">
        <f>IF(tbl_SeqLib[[#This Row],[Duplicate Barcode]],"DUPLICATE BARCODE",IF(AND(tbl_SeqLib[[#This Row],[Data entered]],NOT(tbl_SeqLib[[#This Row],[Valid Entry]])),"Incomplete Entry",""))</f>
        <v/>
      </c>
    </row>
    <row r="38" spans="1:10" ht="15.75" customHeight="1" x14ac:dyDescent="0.3">
      <c r="A38" s="33" t="s">
        <v>32</v>
      </c>
      <c r="B38" s="23"/>
      <c r="C38" s="20">
        <v>29</v>
      </c>
      <c r="D38" s="2"/>
      <c r="E38" s="10"/>
      <c r="F38" s="52" t="str">
        <f>CONCATENATE("barcode",TEXT(tbl_SeqLib[[#This Row],[Barcode]],"00"))</f>
        <v>barcode29</v>
      </c>
      <c r="G38" s="25" t="b">
        <f>IF(COUNTIF(tbl_SeqLib[Barcode],tbl_SeqLib[[#This Row],[Barcode]])&gt;1,TRUE,FALSE)</f>
        <v>0</v>
      </c>
      <c r="H38" s="25" t="b">
        <f>IF(OR(ISBLANK(tbl_SeqLib[[#This Row],[Sample ID]]),ISBLANK(tbl_SeqLib[[#This Row],[Barcode]]),ISBLANK(tbl_SeqLib[[#This Row],[Sample Type]])),FALSE, TRUE)</f>
        <v>0</v>
      </c>
      <c r="I38" s="25" t="b">
        <f>IF(AND(ISBLANK(tbl_SeqLib[[#This Row],[Sample ID]]),ISBLANK(tbl_SeqLib[[#This Row],[Sample Type]]),ISBLANK(tbl_SeqLib[[#This Row],[PCR '[DNA'] (ng / µl)]])),FALSE,TRUE)</f>
        <v>0</v>
      </c>
      <c r="J38" s="34" t="str">
        <f>IF(tbl_SeqLib[[#This Row],[Duplicate Barcode]],"DUPLICATE BARCODE",IF(AND(tbl_SeqLib[[#This Row],[Data entered]],NOT(tbl_SeqLib[[#This Row],[Valid Entry]])),"Incomplete Entry",""))</f>
        <v/>
      </c>
    </row>
    <row r="39" spans="1:10" ht="15.75" customHeight="1" x14ac:dyDescent="0.3">
      <c r="A39" s="33" t="s">
        <v>33</v>
      </c>
      <c r="B39" s="23"/>
      <c r="C39" s="20">
        <v>30</v>
      </c>
      <c r="D39" s="2"/>
      <c r="E39" s="10"/>
      <c r="F39" s="52" t="str">
        <f>CONCATENATE("barcode",TEXT(tbl_SeqLib[[#This Row],[Barcode]],"00"))</f>
        <v>barcode30</v>
      </c>
      <c r="G39" s="25" t="b">
        <f>IF(COUNTIF(tbl_SeqLib[Barcode],tbl_SeqLib[[#This Row],[Barcode]])&gt;1,TRUE,FALSE)</f>
        <v>0</v>
      </c>
      <c r="H39" s="25" t="b">
        <f>IF(OR(ISBLANK(tbl_SeqLib[[#This Row],[Sample ID]]),ISBLANK(tbl_SeqLib[[#This Row],[Barcode]]),ISBLANK(tbl_SeqLib[[#This Row],[Sample Type]])),FALSE, TRUE)</f>
        <v>0</v>
      </c>
      <c r="I39" s="25" t="b">
        <f>IF(AND(ISBLANK(tbl_SeqLib[[#This Row],[Sample ID]]),ISBLANK(tbl_SeqLib[[#This Row],[Sample Type]]),ISBLANK(tbl_SeqLib[[#This Row],[PCR '[DNA'] (ng / µl)]])),FALSE,TRUE)</f>
        <v>0</v>
      </c>
      <c r="J39" s="34" t="str">
        <f>IF(tbl_SeqLib[[#This Row],[Duplicate Barcode]],"DUPLICATE BARCODE",IF(AND(tbl_SeqLib[[#This Row],[Data entered]],NOT(tbl_SeqLib[[#This Row],[Valid Entry]])),"Incomplete Entry",""))</f>
        <v/>
      </c>
    </row>
    <row r="40" spans="1:10" ht="15.75" customHeight="1" x14ac:dyDescent="0.3">
      <c r="A40" s="33" t="s">
        <v>34</v>
      </c>
      <c r="B40" s="23"/>
      <c r="C40" s="20">
        <v>31</v>
      </c>
      <c r="D40" s="2"/>
      <c r="E40" s="10"/>
      <c r="F40" s="52" t="str">
        <f>CONCATENATE("barcode",TEXT(tbl_SeqLib[[#This Row],[Barcode]],"00"))</f>
        <v>barcode31</v>
      </c>
      <c r="G40" s="25" t="b">
        <f>IF(COUNTIF(tbl_SeqLib[Barcode],tbl_SeqLib[[#This Row],[Barcode]])&gt;1,TRUE,FALSE)</f>
        <v>0</v>
      </c>
      <c r="H40" s="25" t="b">
        <f>IF(OR(ISBLANK(tbl_SeqLib[[#This Row],[Sample ID]]),ISBLANK(tbl_SeqLib[[#This Row],[Barcode]]),ISBLANK(tbl_SeqLib[[#This Row],[Sample Type]])),FALSE, TRUE)</f>
        <v>0</v>
      </c>
      <c r="I40" s="25" t="b">
        <f>IF(AND(ISBLANK(tbl_SeqLib[[#This Row],[Sample ID]]),ISBLANK(tbl_SeqLib[[#This Row],[Sample Type]]),ISBLANK(tbl_SeqLib[[#This Row],[PCR '[DNA'] (ng / µl)]])),FALSE,TRUE)</f>
        <v>0</v>
      </c>
      <c r="J40" s="34" t="str">
        <f>IF(tbl_SeqLib[[#This Row],[Duplicate Barcode]],"DUPLICATE BARCODE",IF(AND(tbl_SeqLib[[#This Row],[Data entered]],NOT(tbl_SeqLib[[#This Row],[Valid Entry]])),"Incomplete Entry",""))</f>
        <v/>
      </c>
    </row>
    <row r="41" spans="1:10" ht="15.75" customHeight="1" thickBot="1" x14ac:dyDescent="0.35">
      <c r="A41" s="35" t="s">
        <v>35</v>
      </c>
      <c r="B41" s="24"/>
      <c r="C41" s="21">
        <v>32</v>
      </c>
      <c r="D41" s="4"/>
      <c r="E41" s="11"/>
      <c r="F41" s="53" t="str">
        <f>CONCATENATE("barcode",TEXT(tbl_SeqLib[[#This Row],[Barcode]],"00"))</f>
        <v>barcode32</v>
      </c>
      <c r="G41" s="36" t="b">
        <f>IF(COUNTIF(tbl_SeqLib[Barcode],tbl_SeqLib[[#This Row],[Barcode]])&gt;1,TRUE,FALSE)</f>
        <v>0</v>
      </c>
      <c r="H41" s="36" t="b">
        <f>IF(OR(ISBLANK(tbl_SeqLib[[#This Row],[Sample ID]]),ISBLANK(tbl_SeqLib[[#This Row],[Barcode]]),ISBLANK(tbl_SeqLib[[#This Row],[Sample Type]])),FALSE, TRUE)</f>
        <v>0</v>
      </c>
      <c r="I41" s="36" t="b">
        <f>IF(AND(ISBLANK(tbl_SeqLib[[#This Row],[Sample ID]]),ISBLANK(tbl_SeqLib[[#This Row],[Sample Type]]),ISBLANK(tbl_SeqLib[[#This Row],[PCR '[DNA'] (ng / µl)]])),FALSE,TRUE)</f>
        <v>0</v>
      </c>
      <c r="J41" s="37" t="str">
        <f>IF(tbl_SeqLib[[#This Row],[Duplicate Barcode]],"DUPLICATE BARCODE",IF(AND(tbl_SeqLib[[#This Row],[Data entered]],NOT(tbl_SeqLib[[#This Row],[Valid Entry]])),"Incomplete Entry",""))</f>
        <v/>
      </c>
    </row>
    <row r="42" spans="1:10" ht="15.75" customHeight="1" x14ac:dyDescent="0.3">
      <c r="A42" s="30" t="s">
        <v>36</v>
      </c>
      <c r="B42" s="22"/>
      <c r="C42" s="19">
        <v>33</v>
      </c>
      <c r="D42" s="3"/>
      <c r="E42" s="9"/>
      <c r="F42" s="51" t="str">
        <f>CONCATENATE("barcode",TEXT(tbl_SeqLib[[#This Row],[Barcode]],"00"))</f>
        <v>barcode33</v>
      </c>
      <c r="G42" s="31" t="b">
        <f>IF(COUNTIF(tbl_SeqLib[Barcode],tbl_SeqLib[[#This Row],[Barcode]])&gt;1,TRUE,FALSE)</f>
        <v>0</v>
      </c>
      <c r="H42" s="31" t="b">
        <f>IF(OR(ISBLANK(tbl_SeqLib[[#This Row],[Sample ID]]),ISBLANK(tbl_SeqLib[[#This Row],[Barcode]]),ISBLANK(tbl_SeqLib[[#This Row],[Sample Type]])),FALSE, TRUE)</f>
        <v>0</v>
      </c>
      <c r="I42" s="31" t="b">
        <f>IF(AND(ISBLANK(tbl_SeqLib[[#This Row],[Sample ID]]),ISBLANK(tbl_SeqLib[[#This Row],[Sample Type]]),ISBLANK(tbl_SeqLib[[#This Row],[PCR '[DNA'] (ng / µl)]])),FALSE,TRUE)</f>
        <v>0</v>
      </c>
      <c r="J42" s="32" t="str">
        <f>IF(tbl_SeqLib[[#This Row],[Duplicate Barcode]],"DUPLICATE BARCODE",IF(AND(tbl_SeqLib[[#This Row],[Data entered]],NOT(tbl_SeqLib[[#This Row],[Valid Entry]])),"Incomplete Entry",""))</f>
        <v/>
      </c>
    </row>
    <row r="43" spans="1:10" ht="15.75" customHeight="1" x14ac:dyDescent="0.3">
      <c r="A43" s="33" t="s">
        <v>37</v>
      </c>
      <c r="B43" s="23"/>
      <c r="C43" s="20">
        <v>34</v>
      </c>
      <c r="D43" s="2"/>
      <c r="E43" s="10"/>
      <c r="F43" s="52" t="str">
        <f>CONCATENATE("barcode",TEXT(tbl_SeqLib[[#This Row],[Barcode]],"00"))</f>
        <v>barcode34</v>
      </c>
      <c r="G43" s="25" t="b">
        <f>IF(COUNTIF(tbl_SeqLib[Barcode],tbl_SeqLib[[#This Row],[Barcode]])&gt;1,TRUE,FALSE)</f>
        <v>0</v>
      </c>
      <c r="H43" s="25" t="b">
        <f>IF(OR(ISBLANK(tbl_SeqLib[[#This Row],[Sample ID]]),ISBLANK(tbl_SeqLib[[#This Row],[Barcode]]),ISBLANK(tbl_SeqLib[[#This Row],[Sample Type]])),FALSE, TRUE)</f>
        <v>0</v>
      </c>
      <c r="I43" s="25" t="b">
        <f>IF(AND(ISBLANK(tbl_SeqLib[[#This Row],[Sample ID]]),ISBLANK(tbl_SeqLib[[#This Row],[Sample Type]]),ISBLANK(tbl_SeqLib[[#This Row],[PCR '[DNA'] (ng / µl)]])),FALSE,TRUE)</f>
        <v>0</v>
      </c>
      <c r="J43" s="34" t="str">
        <f>IF(tbl_SeqLib[[#This Row],[Duplicate Barcode]],"DUPLICATE BARCODE",IF(AND(tbl_SeqLib[[#This Row],[Data entered]],NOT(tbl_SeqLib[[#This Row],[Valid Entry]])),"Incomplete Entry",""))</f>
        <v/>
      </c>
    </row>
    <row r="44" spans="1:10" ht="15.75" customHeight="1" x14ac:dyDescent="0.3">
      <c r="A44" s="33" t="s">
        <v>38</v>
      </c>
      <c r="B44" s="23"/>
      <c r="C44" s="20">
        <v>35</v>
      </c>
      <c r="D44" s="2"/>
      <c r="E44" s="10"/>
      <c r="F44" s="52" t="str">
        <f>CONCATENATE("barcode",TEXT(tbl_SeqLib[[#This Row],[Barcode]],"00"))</f>
        <v>barcode35</v>
      </c>
      <c r="G44" s="25" t="b">
        <f>IF(COUNTIF(tbl_SeqLib[Barcode],tbl_SeqLib[[#This Row],[Barcode]])&gt;1,TRUE,FALSE)</f>
        <v>0</v>
      </c>
      <c r="H44" s="25" t="b">
        <f>IF(OR(ISBLANK(tbl_SeqLib[[#This Row],[Sample ID]]),ISBLANK(tbl_SeqLib[[#This Row],[Barcode]]),ISBLANK(tbl_SeqLib[[#This Row],[Sample Type]])),FALSE, TRUE)</f>
        <v>0</v>
      </c>
      <c r="I44" s="25" t="b">
        <f>IF(AND(ISBLANK(tbl_SeqLib[[#This Row],[Sample ID]]),ISBLANK(tbl_SeqLib[[#This Row],[Sample Type]]),ISBLANK(tbl_SeqLib[[#This Row],[PCR '[DNA'] (ng / µl)]])),FALSE,TRUE)</f>
        <v>0</v>
      </c>
      <c r="J44" s="34" t="str">
        <f>IF(tbl_SeqLib[[#This Row],[Duplicate Barcode]],"DUPLICATE BARCODE",IF(AND(tbl_SeqLib[[#This Row],[Data entered]],NOT(tbl_SeqLib[[#This Row],[Valid Entry]])),"Incomplete Entry",""))</f>
        <v/>
      </c>
    </row>
    <row r="45" spans="1:10" ht="15.75" customHeight="1" x14ac:dyDescent="0.3">
      <c r="A45" s="33" t="s">
        <v>39</v>
      </c>
      <c r="B45" s="23"/>
      <c r="C45" s="20">
        <v>36</v>
      </c>
      <c r="D45" s="2"/>
      <c r="E45" s="10"/>
      <c r="F45" s="52" t="str">
        <f>CONCATENATE("barcode",TEXT(tbl_SeqLib[[#This Row],[Barcode]],"00"))</f>
        <v>barcode36</v>
      </c>
      <c r="G45" s="25" t="b">
        <f>IF(COUNTIF(tbl_SeqLib[Barcode],tbl_SeqLib[[#This Row],[Barcode]])&gt;1,TRUE,FALSE)</f>
        <v>0</v>
      </c>
      <c r="H45" s="25" t="b">
        <f>IF(OR(ISBLANK(tbl_SeqLib[[#This Row],[Sample ID]]),ISBLANK(tbl_SeqLib[[#This Row],[Barcode]]),ISBLANK(tbl_SeqLib[[#This Row],[Sample Type]])),FALSE, TRUE)</f>
        <v>0</v>
      </c>
      <c r="I45" s="25" t="b">
        <f>IF(AND(ISBLANK(tbl_SeqLib[[#This Row],[Sample ID]]),ISBLANK(tbl_SeqLib[[#This Row],[Sample Type]]),ISBLANK(tbl_SeqLib[[#This Row],[PCR '[DNA'] (ng / µl)]])),FALSE,TRUE)</f>
        <v>0</v>
      </c>
      <c r="J45" s="34" t="str">
        <f>IF(tbl_SeqLib[[#This Row],[Duplicate Barcode]],"DUPLICATE BARCODE",IF(AND(tbl_SeqLib[[#This Row],[Data entered]],NOT(tbl_SeqLib[[#This Row],[Valid Entry]])),"Incomplete Entry",""))</f>
        <v/>
      </c>
    </row>
    <row r="46" spans="1:10" ht="15.75" customHeight="1" x14ac:dyDescent="0.3">
      <c r="A46" s="33" t="s">
        <v>40</v>
      </c>
      <c r="B46" s="23"/>
      <c r="C46" s="20">
        <v>37</v>
      </c>
      <c r="D46" s="2"/>
      <c r="E46" s="10"/>
      <c r="F46" s="52" t="str">
        <f>CONCATENATE("barcode",TEXT(tbl_SeqLib[[#This Row],[Barcode]],"00"))</f>
        <v>barcode37</v>
      </c>
      <c r="G46" s="25" t="b">
        <f>IF(COUNTIF(tbl_SeqLib[Barcode],tbl_SeqLib[[#This Row],[Barcode]])&gt;1,TRUE,FALSE)</f>
        <v>0</v>
      </c>
      <c r="H46" s="25" t="b">
        <f>IF(OR(ISBLANK(tbl_SeqLib[[#This Row],[Sample ID]]),ISBLANK(tbl_SeqLib[[#This Row],[Barcode]]),ISBLANK(tbl_SeqLib[[#This Row],[Sample Type]])),FALSE, TRUE)</f>
        <v>0</v>
      </c>
      <c r="I46" s="25" t="b">
        <f>IF(AND(ISBLANK(tbl_SeqLib[[#This Row],[Sample ID]]),ISBLANK(tbl_SeqLib[[#This Row],[Sample Type]]),ISBLANK(tbl_SeqLib[[#This Row],[PCR '[DNA'] (ng / µl)]])),FALSE,TRUE)</f>
        <v>0</v>
      </c>
      <c r="J46" s="34" t="str">
        <f>IF(tbl_SeqLib[[#This Row],[Duplicate Barcode]],"DUPLICATE BARCODE",IF(AND(tbl_SeqLib[[#This Row],[Data entered]],NOT(tbl_SeqLib[[#This Row],[Valid Entry]])),"Incomplete Entry",""))</f>
        <v/>
      </c>
    </row>
    <row r="47" spans="1:10" ht="15.75" customHeight="1" x14ac:dyDescent="0.3">
      <c r="A47" s="33" t="s">
        <v>41</v>
      </c>
      <c r="B47" s="23"/>
      <c r="C47" s="20">
        <v>38</v>
      </c>
      <c r="D47" s="2"/>
      <c r="E47" s="10"/>
      <c r="F47" s="52" t="str">
        <f>CONCATENATE("barcode",TEXT(tbl_SeqLib[[#This Row],[Barcode]],"00"))</f>
        <v>barcode38</v>
      </c>
      <c r="G47" s="25" t="b">
        <f>IF(COUNTIF(tbl_SeqLib[Barcode],tbl_SeqLib[[#This Row],[Barcode]])&gt;1,TRUE,FALSE)</f>
        <v>0</v>
      </c>
      <c r="H47" s="25" t="b">
        <f>IF(OR(ISBLANK(tbl_SeqLib[[#This Row],[Sample ID]]),ISBLANK(tbl_SeqLib[[#This Row],[Barcode]]),ISBLANK(tbl_SeqLib[[#This Row],[Sample Type]])),FALSE, TRUE)</f>
        <v>0</v>
      </c>
      <c r="I47" s="25" t="b">
        <f>IF(AND(ISBLANK(tbl_SeqLib[[#This Row],[Sample ID]]),ISBLANK(tbl_SeqLib[[#This Row],[Sample Type]]),ISBLANK(tbl_SeqLib[[#This Row],[PCR '[DNA'] (ng / µl)]])),FALSE,TRUE)</f>
        <v>0</v>
      </c>
      <c r="J47" s="34" t="str">
        <f>IF(tbl_SeqLib[[#This Row],[Duplicate Barcode]],"DUPLICATE BARCODE",IF(AND(tbl_SeqLib[[#This Row],[Data entered]],NOT(tbl_SeqLib[[#This Row],[Valid Entry]])),"Incomplete Entry",""))</f>
        <v/>
      </c>
    </row>
    <row r="48" spans="1:10" ht="15.75" customHeight="1" x14ac:dyDescent="0.3">
      <c r="A48" s="33" t="s">
        <v>42</v>
      </c>
      <c r="B48" s="23"/>
      <c r="C48" s="20">
        <v>39</v>
      </c>
      <c r="D48" s="2"/>
      <c r="E48" s="10"/>
      <c r="F48" s="52" t="str">
        <f>CONCATENATE("barcode",TEXT(tbl_SeqLib[[#This Row],[Barcode]],"00"))</f>
        <v>barcode39</v>
      </c>
      <c r="G48" s="25" t="b">
        <f>IF(COUNTIF(tbl_SeqLib[Barcode],tbl_SeqLib[[#This Row],[Barcode]])&gt;1,TRUE,FALSE)</f>
        <v>0</v>
      </c>
      <c r="H48" s="25" t="b">
        <f>IF(OR(ISBLANK(tbl_SeqLib[[#This Row],[Sample ID]]),ISBLANK(tbl_SeqLib[[#This Row],[Barcode]]),ISBLANK(tbl_SeqLib[[#This Row],[Sample Type]])),FALSE, TRUE)</f>
        <v>0</v>
      </c>
      <c r="I48" s="25" t="b">
        <f>IF(AND(ISBLANK(tbl_SeqLib[[#This Row],[Sample ID]]),ISBLANK(tbl_SeqLib[[#This Row],[Sample Type]]),ISBLANK(tbl_SeqLib[[#This Row],[PCR '[DNA'] (ng / µl)]])),FALSE,TRUE)</f>
        <v>0</v>
      </c>
      <c r="J48" s="34" t="str">
        <f>IF(tbl_SeqLib[[#This Row],[Duplicate Barcode]],"DUPLICATE BARCODE",IF(AND(tbl_SeqLib[[#This Row],[Data entered]],NOT(tbl_SeqLib[[#This Row],[Valid Entry]])),"Incomplete Entry",""))</f>
        <v/>
      </c>
    </row>
    <row r="49" spans="1:10" ht="15.75" customHeight="1" thickBot="1" x14ac:dyDescent="0.35">
      <c r="A49" s="35" t="s">
        <v>43</v>
      </c>
      <c r="B49" s="24"/>
      <c r="C49" s="21">
        <v>40</v>
      </c>
      <c r="D49" s="4"/>
      <c r="E49" s="11"/>
      <c r="F49" s="53" t="str">
        <f>CONCATENATE("barcode",TEXT(tbl_SeqLib[[#This Row],[Barcode]],"00"))</f>
        <v>barcode40</v>
      </c>
      <c r="G49" s="36" t="b">
        <f>IF(COUNTIF(tbl_SeqLib[Barcode],tbl_SeqLib[[#This Row],[Barcode]])&gt;1,TRUE,FALSE)</f>
        <v>0</v>
      </c>
      <c r="H49" s="36" t="b">
        <f>IF(OR(ISBLANK(tbl_SeqLib[[#This Row],[Sample ID]]),ISBLANK(tbl_SeqLib[[#This Row],[Barcode]]),ISBLANK(tbl_SeqLib[[#This Row],[Sample Type]])),FALSE, TRUE)</f>
        <v>0</v>
      </c>
      <c r="I49" s="36" t="b">
        <f>IF(AND(ISBLANK(tbl_SeqLib[[#This Row],[Sample ID]]),ISBLANK(tbl_SeqLib[[#This Row],[Sample Type]]),ISBLANK(tbl_SeqLib[[#This Row],[PCR '[DNA'] (ng / µl)]])),FALSE,TRUE)</f>
        <v>0</v>
      </c>
      <c r="J49" s="37" t="str">
        <f>IF(tbl_SeqLib[[#This Row],[Duplicate Barcode]],"DUPLICATE BARCODE",IF(AND(tbl_SeqLib[[#This Row],[Data entered]],NOT(tbl_SeqLib[[#This Row],[Valid Entry]])),"Incomplete Entry",""))</f>
        <v/>
      </c>
    </row>
    <row r="50" spans="1:10" ht="15.75" customHeight="1" x14ac:dyDescent="0.3">
      <c r="A50" s="30" t="s">
        <v>44</v>
      </c>
      <c r="B50" s="22"/>
      <c r="C50" s="19">
        <v>41</v>
      </c>
      <c r="D50" s="3"/>
      <c r="E50" s="9"/>
      <c r="F50" s="51" t="str">
        <f>CONCATENATE("barcode",TEXT(tbl_SeqLib[[#This Row],[Barcode]],"00"))</f>
        <v>barcode41</v>
      </c>
      <c r="G50" s="31" t="b">
        <f>IF(COUNTIF(tbl_SeqLib[Barcode],tbl_SeqLib[[#This Row],[Barcode]])&gt;1,TRUE,FALSE)</f>
        <v>0</v>
      </c>
      <c r="H50" s="31" t="b">
        <f>IF(OR(ISBLANK(tbl_SeqLib[[#This Row],[Sample ID]]),ISBLANK(tbl_SeqLib[[#This Row],[Barcode]]),ISBLANK(tbl_SeqLib[[#This Row],[Sample Type]])),FALSE, TRUE)</f>
        <v>0</v>
      </c>
      <c r="I50" s="31" t="b">
        <f>IF(AND(ISBLANK(tbl_SeqLib[[#This Row],[Sample ID]]),ISBLANK(tbl_SeqLib[[#This Row],[Sample Type]]),ISBLANK(tbl_SeqLib[[#This Row],[PCR '[DNA'] (ng / µl)]])),FALSE,TRUE)</f>
        <v>0</v>
      </c>
      <c r="J50" s="32" t="str">
        <f>IF(tbl_SeqLib[[#This Row],[Duplicate Barcode]],"DUPLICATE BARCODE",IF(AND(tbl_SeqLib[[#This Row],[Data entered]],NOT(tbl_SeqLib[[#This Row],[Valid Entry]])),"Incomplete Entry",""))</f>
        <v/>
      </c>
    </row>
    <row r="51" spans="1:10" ht="15.75" customHeight="1" x14ac:dyDescent="0.3">
      <c r="A51" s="33" t="s">
        <v>45</v>
      </c>
      <c r="B51" s="23"/>
      <c r="C51" s="20">
        <v>42</v>
      </c>
      <c r="D51" s="2"/>
      <c r="E51" s="10"/>
      <c r="F51" s="52" t="str">
        <f>CONCATENATE("barcode",TEXT(tbl_SeqLib[[#This Row],[Barcode]],"00"))</f>
        <v>barcode42</v>
      </c>
      <c r="G51" s="25" t="b">
        <f>IF(COUNTIF(tbl_SeqLib[Barcode],tbl_SeqLib[[#This Row],[Barcode]])&gt;1,TRUE,FALSE)</f>
        <v>0</v>
      </c>
      <c r="H51" s="25" t="b">
        <f>IF(OR(ISBLANK(tbl_SeqLib[[#This Row],[Sample ID]]),ISBLANK(tbl_SeqLib[[#This Row],[Barcode]]),ISBLANK(tbl_SeqLib[[#This Row],[Sample Type]])),FALSE, TRUE)</f>
        <v>0</v>
      </c>
      <c r="I51" s="25" t="b">
        <f>IF(AND(ISBLANK(tbl_SeqLib[[#This Row],[Sample ID]]),ISBLANK(tbl_SeqLib[[#This Row],[Sample Type]]),ISBLANK(tbl_SeqLib[[#This Row],[PCR '[DNA'] (ng / µl)]])),FALSE,TRUE)</f>
        <v>0</v>
      </c>
      <c r="J51" s="34" t="str">
        <f>IF(tbl_SeqLib[[#This Row],[Duplicate Barcode]],"DUPLICATE BARCODE",IF(AND(tbl_SeqLib[[#This Row],[Data entered]],NOT(tbl_SeqLib[[#This Row],[Valid Entry]])),"Incomplete Entry",""))</f>
        <v/>
      </c>
    </row>
    <row r="52" spans="1:10" ht="15.75" customHeight="1" x14ac:dyDescent="0.3">
      <c r="A52" s="33" t="s">
        <v>46</v>
      </c>
      <c r="B52" s="23"/>
      <c r="C52" s="20">
        <v>43</v>
      </c>
      <c r="D52" s="2"/>
      <c r="E52" s="10"/>
      <c r="F52" s="52" t="str">
        <f>CONCATENATE("barcode",TEXT(tbl_SeqLib[[#This Row],[Barcode]],"00"))</f>
        <v>barcode43</v>
      </c>
      <c r="G52" s="25" t="b">
        <f>IF(COUNTIF(tbl_SeqLib[Barcode],tbl_SeqLib[[#This Row],[Barcode]])&gt;1,TRUE,FALSE)</f>
        <v>0</v>
      </c>
      <c r="H52" s="25" t="b">
        <f>IF(OR(ISBLANK(tbl_SeqLib[[#This Row],[Sample ID]]),ISBLANK(tbl_SeqLib[[#This Row],[Barcode]]),ISBLANK(tbl_SeqLib[[#This Row],[Sample Type]])),FALSE, TRUE)</f>
        <v>0</v>
      </c>
      <c r="I52" s="25" t="b">
        <f>IF(AND(ISBLANK(tbl_SeqLib[[#This Row],[Sample ID]]),ISBLANK(tbl_SeqLib[[#This Row],[Sample Type]]),ISBLANK(tbl_SeqLib[[#This Row],[PCR '[DNA'] (ng / µl)]])),FALSE,TRUE)</f>
        <v>0</v>
      </c>
      <c r="J52" s="34" t="str">
        <f>IF(tbl_SeqLib[[#This Row],[Duplicate Barcode]],"DUPLICATE BARCODE",IF(AND(tbl_SeqLib[[#This Row],[Data entered]],NOT(tbl_SeqLib[[#This Row],[Valid Entry]])),"Incomplete Entry",""))</f>
        <v/>
      </c>
    </row>
    <row r="53" spans="1:10" ht="15.75" customHeight="1" x14ac:dyDescent="0.3">
      <c r="A53" s="33" t="s">
        <v>47</v>
      </c>
      <c r="B53" s="23"/>
      <c r="C53" s="20">
        <v>44</v>
      </c>
      <c r="D53" s="2"/>
      <c r="E53" s="10"/>
      <c r="F53" s="52" t="str">
        <f>CONCATENATE("barcode",TEXT(tbl_SeqLib[[#This Row],[Barcode]],"00"))</f>
        <v>barcode44</v>
      </c>
      <c r="G53" s="25" t="b">
        <f>IF(COUNTIF(tbl_SeqLib[Barcode],tbl_SeqLib[[#This Row],[Barcode]])&gt;1,TRUE,FALSE)</f>
        <v>0</v>
      </c>
      <c r="H53" s="25" t="b">
        <f>IF(OR(ISBLANK(tbl_SeqLib[[#This Row],[Sample ID]]),ISBLANK(tbl_SeqLib[[#This Row],[Barcode]]),ISBLANK(tbl_SeqLib[[#This Row],[Sample Type]])),FALSE, TRUE)</f>
        <v>0</v>
      </c>
      <c r="I53" s="25" t="b">
        <f>IF(AND(ISBLANK(tbl_SeqLib[[#This Row],[Sample ID]]),ISBLANK(tbl_SeqLib[[#This Row],[Sample Type]]),ISBLANK(tbl_SeqLib[[#This Row],[PCR '[DNA'] (ng / µl)]])),FALSE,TRUE)</f>
        <v>0</v>
      </c>
      <c r="J53" s="34" t="str">
        <f>IF(tbl_SeqLib[[#This Row],[Duplicate Barcode]],"DUPLICATE BARCODE",IF(AND(tbl_SeqLib[[#This Row],[Data entered]],NOT(tbl_SeqLib[[#This Row],[Valid Entry]])),"Incomplete Entry",""))</f>
        <v/>
      </c>
    </row>
    <row r="54" spans="1:10" ht="15.75" customHeight="1" x14ac:dyDescent="0.3">
      <c r="A54" s="33" t="s">
        <v>48</v>
      </c>
      <c r="B54" s="23"/>
      <c r="C54" s="20">
        <v>45</v>
      </c>
      <c r="D54" s="2"/>
      <c r="E54" s="10"/>
      <c r="F54" s="52" t="str">
        <f>CONCATENATE("barcode",TEXT(tbl_SeqLib[[#This Row],[Barcode]],"00"))</f>
        <v>barcode45</v>
      </c>
      <c r="G54" s="25" t="b">
        <f>IF(COUNTIF(tbl_SeqLib[Barcode],tbl_SeqLib[[#This Row],[Barcode]])&gt;1,TRUE,FALSE)</f>
        <v>0</v>
      </c>
      <c r="H54" s="25" t="b">
        <f>IF(OR(ISBLANK(tbl_SeqLib[[#This Row],[Sample ID]]),ISBLANK(tbl_SeqLib[[#This Row],[Barcode]]),ISBLANK(tbl_SeqLib[[#This Row],[Sample Type]])),FALSE, TRUE)</f>
        <v>0</v>
      </c>
      <c r="I54" s="25" t="b">
        <f>IF(AND(ISBLANK(tbl_SeqLib[[#This Row],[Sample ID]]),ISBLANK(tbl_SeqLib[[#This Row],[Sample Type]]),ISBLANK(tbl_SeqLib[[#This Row],[PCR '[DNA'] (ng / µl)]])),FALSE,TRUE)</f>
        <v>0</v>
      </c>
      <c r="J54" s="34" t="str">
        <f>IF(tbl_SeqLib[[#This Row],[Duplicate Barcode]],"DUPLICATE BARCODE",IF(AND(tbl_SeqLib[[#This Row],[Data entered]],NOT(tbl_SeqLib[[#This Row],[Valid Entry]])),"Incomplete Entry",""))</f>
        <v/>
      </c>
    </row>
    <row r="55" spans="1:10" ht="15.75" customHeight="1" x14ac:dyDescent="0.3">
      <c r="A55" s="33" t="s">
        <v>49</v>
      </c>
      <c r="B55" s="23"/>
      <c r="C55" s="20">
        <v>46</v>
      </c>
      <c r="D55" s="2"/>
      <c r="E55" s="10"/>
      <c r="F55" s="52" t="str">
        <f>CONCATENATE("barcode",TEXT(tbl_SeqLib[[#This Row],[Barcode]],"00"))</f>
        <v>barcode46</v>
      </c>
      <c r="G55" s="25" t="b">
        <f>IF(COUNTIF(tbl_SeqLib[Barcode],tbl_SeqLib[[#This Row],[Barcode]])&gt;1,TRUE,FALSE)</f>
        <v>0</v>
      </c>
      <c r="H55" s="25" t="b">
        <f>IF(OR(ISBLANK(tbl_SeqLib[[#This Row],[Sample ID]]),ISBLANK(tbl_SeqLib[[#This Row],[Barcode]]),ISBLANK(tbl_SeqLib[[#This Row],[Sample Type]])),FALSE, TRUE)</f>
        <v>0</v>
      </c>
      <c r="I55" s="25" t="b">
        <f>IF(AND(ISBLANK(tbl_SeqLib[[#This Row],[Sample ID]]),ISBLANK(tbl_SeqLib[[#This Row],[Sample Type]]),ISBLANK(tbl_SeqLib[[#This Row],[PCR '[DNA'] (ng / µl)]])),FALSE,TRUE)</f>
        <v>0</v>
      </c>
      <c r="J55" s="34" t="str">
        <f>IF(tbl_SeqLib[[#This Row],[Duplicate Barcode]],"DUPLICATE BARCODE",IF(AND(tbl_SeqLib[[#This Row],[Data entered]],NOT(tbl_SeqLib[[#This Row],[Valid Entry]])),"Incomplete Entry",""))</f>
        <v/>
      </c>
    </row>
    <row r="56" spans="1:10" ht="15.75" customHeight="1" x14ac:dyDescent="0.3">
      <c r="A56" s="33" t="s">
        <v>50</v>
      </c>
      <c r="B56" s="23"/>
      <c r="C56" s="20">
        <v>47</v>
      </c>
      <c r="D56" s="2"/>
      <c r="E56" s="10"/>
      <c r="F56" s="52" t="str">
        <f>CONCATENATE("barcode",TEXT(tbl_SeqLib[[#This Row],[Barcode]],"00"))</f>
        <v>barcode47</v>
      </c>
      <c r="G56" s="25" t="b">
        <f>IF(COUNTIF(tbl_SeqLib[Barcode],tbl_SeqLib[[#This Row],[Barcode]])&gt;1,TRUE,FALSE)</f>
        <v>0</v>
      </c>
      <c r="H56" s="25" t="b">
        <f>IF(OR(ISBLANK(tbl_SeqLib[[#This Row],[Sample ID]]),ISBLANK(tbl_SeqLib[[#This Row],[Barcode]]),ISBLANK(tbl_SeqLib[[#This Row],[Sample Type]])),FALSE, TRUE)</f>
        <v>0</v>
      </c>
      <c r="I56" s="25" t="b">
        <f>IF(AND(ISBLANK(tbl_SeqLib[[#This Row],[Sample ID]]),ISBLANK(tbl_SeqLib[[#This Row],[Sample Type]]),ISBLANK(tbl_SeqLib[[#This Row],[PCR '[DNA'] (ng / µl)]])),FALSE,TRUE)</f>
        <v>0</v>
      </c>
      <c r="J56" s="34" t="str">
        <f>IF(tbl_SeqLib[[#This Row],[Duplicate Barcode]],"DUPLICATE BARCODE",IF(AND(tbl_SeqLib[[#This Row],[Data entered]],NOT(tbl_SeqLib[[#This Row],[Valid Entry]])),"Incomplete Entry",""))</f>
        <v/>
      </c>
    </row>
    <row r="57" spans="1:10" ht="15.75" customHeight="1" thickBot="1" x14ac:dyDescent="0.35">
      <c r="A57" s="35" t="s">
        <v>51</v>
      </c>
      <c r="B57" s="24"/>
      <c r="C57" s="21">
        <v>48</v>
      </c>
      <c r="D57" s="4"/>
      <c r="E57" s="11"/>
      <c r="F57" s="53" t="str">
        <f>CONCATENATE("barcode",TEXT(tbl_SeqLib[[#This Row],[Barcode]],"00"))</f>
        <v>barcode48</v>
      </c>
      <c r="G57" s="36" t="b">
        <f>IF(COUNTIF(tbl_SeqLib[Barcode],tbl_SeqLib[[#This Row],[Barcode]])&gt;1,TRUE,FALSE)</f>
        <v>0</v>
      </c>
      <c r="H57" s="36" t="b">
        <f>IF(OR(ISBLANK(tbl_SeqLib[[#This Row],[Sample ID]]),ISBLANK(tbl_SeqLib[[#This Row],[Barcode]]),ISBLANK(tbl_SeqLib[[#This Row],[Sample Type]])),FALSE, TRUE)</f>
        <v>0</v>
      </c>
      <c r="I57" s="36" t="b">
        <f>IF(AND(ISBLANK(tbl_SeqLib[[#This Row],[Sample ID]]),ISBLANK(tbl_SeqLib[[#This Row],[Sample Type]]),ISBLANK(tbl_SeqLib[[#This Row],[PCR '[DNA'] (ng / µl)]])),FALSE,TRUE)</f>
        <v>0</v>
      </c>
      <c r="J57" s="37" t="str">
        <f>IF(tbl_SeqLib[[#This Row],[Duplicate Barcode]],"DUPLICATE BARCODE",IF(AND(tbl_SeqLib[[#This Row],[Data entered]],NOT(tbl_SeqLib[[#This Row],[Valid Entry]])),"Incomplete Entry",""))</f>
        <v/>
      </c>
    </row>
    <row r="58" spans="1:10" ht="15.75" customHeight="1" x14ac:dyDescent="0.3">
      <c r="A58" s="30" t="s">
        <v>52</v>
      </c>
      <c r="B58" s="22"/>
      <c r="C58" s="19">
        <v>49</v>
      </c>
      <c r="D58" s="3"/>
      <c r="E58" s="9"/>
      <c r="F58" s="51" t="str">
        <f>CONCATENATE("barcode",TEXT(tbl_SeqLib[[#This Row],[Barcode]],"00"))</f>
        <v>barcode49</v>
      </c>
      <c r="G58" s="31" t="b">
        <f>IF(COUNTIF(tbl_SeqLib[Barcode],tbl_SeqLib[[#This Row],[Barcode]])&gt;1,TRUE,FALSE)</f>
        <v>0</v>
      </c>
      <c r="H58" s="31" t="b">
        <f>IF(OR(ISBLANK(tbl_SeqLib[[#This Row],[Sample ID]]),ISBLANK(tbl_SeqLib[[#This Row],[Barcode]]),ISBLANK(tbl_SeqLib[[#This Row],[Sample Type]])),FALSE, TRUE)</f>
        <v>0</v>
      </c>
      <c r="I58" s="31" t="b">
        <f>IF(AND(ISBLANK(tbl_SeqLib[[#This Row],[Sample ID]]),ISBLANK(tbl_SeqLib[[#This Row],[Sample Type]]),ISBLANK(tbl_SeqLib[[#This Row],[PCR '[DNA'] (ng / µl)]])),FALSE,TRUE)</f>
        <v>0</v>
      </c>
      <c r="J58" s="32" t="str">
        <f>IF(tbl_SeqLib[[#This Row],[Duplicate Barcode]],"DUPLICATE BARCODE",IF(AND(tbl_SeqLib[[#This Row],[Data entered]],NOT(tbl_SeqLib[[#This Row],[Valid Entry]])),"Incomplete Entry",""))</f>
        <v/>
      </c>
    </row>
    <row r="59" spans="1:10" ht="15.75" customHeight="1" x14ac:dyDescent="0.3">
      <c r="A59" s="33" t="s">
        <v>53</v>
      </c>
      <c r="B59" s="23"/>
      <c r="C59" s="20">
        <v>50</v>
      </c>
      <c r="D59" s="2"/>
      <c r="E59" s="10"/>
      <c r="F59" s="52" t="str">
        <f>CONCATENATE("barcode",TEXT(tbl_SeqLib[[#This Row],[Barcode]],"00"))</f>
        <v>barcode50</v>
      </c>
      <c r="G59" s="25" t="b">
        <f>IF(COUNTIF(tbl_SeqLib[Barcode],tbl_SeqLib[[#This Row],[Barcode]])&gt;1,TRUE,FALSE)</f>
        <v>0</v>
      </c>
      <c r="H59" s="25" t="b">
        <f>IF(OR(ISBLANK(tbl_SeqLib[[#This Row],[Sample ID]]),ISBLANK(tbl_SeqLib[[#This Row],[Barcode]]),ISBLANK(tbl_SeqLib[[#This Row],[Sample Type]])),FALSE, TRUE)</f>
        <v>0</v>
      </c>
      <c r="I59" s="25" t="b">
        <f>IF(AND(ISBLANK(tbl_SeqLib[[#This Row],[Sample ID]]),ISBLANK(tbl_SeqLib[[#This Row],[Sample Type]]),ISBLANK(tbl_SeqLib[[#This Row],[PCR '[DNA'] (ng / µl)]])),FALSE,TRUE)</f>
        <v>0</v>
      </c>
      <c r="J59" s="34" t="str">
        <f>IF(tbl_SeqLib[[#This Row],[Duplicate Barcode]],"DUPLICATE BARCODE",IF(AND(tbl_SeqLib[[#This Row],[Data entered]],NOT(tbl_SeqLib[[#This Row],[Valid Entry]])),"Incomplete Entry",""))</f>
        <v/>
      </c>
    </row>
    <row r="60" spans="1:10" ht="15.75" customHeight="1" x14ac:dyDescent="0.3">
      <c r="A60" s="33" t="s">
        <v>54</v>
      </c>
      <c r="B60" s="23"/>
      <c r="C60" s="20">
        <v>51</v>
      </c>
      <c r="D60" s="2"/>
      <c r="E60" s="10"/>
      <c r="F60" s="52" t="str">
        <f>CONCATENATE("barcode",TEXT(tbl_SeqLib[[#This Row],[Barcode]],"00"))</f>
        <v>barcode51</v>
      </c>
      <c r="G60" s="25" t="b">
        <f>IF(COUNTIF(tbl_SeqLib[Barcode],tbl_SeqLib[[#This Row],[Barcode]])&gt;1,TRUE,FALSE)</f>
        <v>0</v>
      </c>
      <c r="H60" s="25" t="b">
        <f>IF(OR(ISBLANK(tbl_SeqLib[[#This Row],[Sample ID]]),ISBLANK(tbl_SeqLib[[#This Row],[Barcode]]),ISBLANK(tbl_SeqLib[[#This Row],[Sample Type]])),FALSE, TRUE)</f>
        <v>0</v>
      </c>
      <c r="I60" s="25" t="b">
        <f>IF(AND(ISBLANK(tbl_SeqLib[[#This Row],[Sample ID]]),ISBLANK(tbl_SeqLib[[#This Row],[Sample Type]]),ISBLANK(tbl_SeqLib[[#This Row],[PCR '[DNA'] (ng / µl)]])),FALSE,TRUE)</f>
        <v>0</v>
      </c>
      <c r="J60" s="34" t="str">
        <f>IF(tbl_SeqLib[[#This Row],[Duplicate Barcode]],"DUPLICATE BARCODE",IF(AND(tbl_SeqLib[[#This Row],[Data entered]],NOT(tbl_SeqLib[[#This Row],[Valid Entry]])),"Incomplete Entry",""))</f>
        <v/>
      </c>
    </row>
    <row r="61" spans="1:10" ht="15.75" customHeight="1" x14ac:dyDescent="0.3">
      <c r="A61" s="33" t="s">
        <v>55</v>
      </c>
      <c r="B61" s="23"/>
      <c r="C61" s="20">
        <v>52</v>
      </c>
      <c r="D61" s="2"/>
      <c r="E61" s="10"/>
      <c r="F61" s="52" t="str">
        <f>CONCATENATE("barcode",TEXT(tbl_SeqLib[[#This Row],[Barcode]],"00"))</f>
        <v>barcode52</v>
      </c>
      <c r="G61" s="25" t="b">
        <f>IF(COUNTIF(tbl_SeqLib[Barcode],tbl_SeqLib[[#This Row],[Barcode]])&gt;1,TRUE,FALSE)</f>
        <v>0</v>
      </c>
      <c r="H61" s="25" t="b">
        <f>IF(OR(ISBLANK(tbl_SeqLib[[#This Row],[Sample ID]]),ISBLANK(tbl_SeqLib[[#This Row],[Barcode]]),ISBLANK(tbl_SeqLib[[#This Row],[Sample Type]])),FALSE, TRUE)</f>
        <v>0</v>
      </c>
      <c r="I61" s="25" t="b">
        <f>IF(AND(ISBLANK(tbl_SeqLib[[#This Row],[Sample ID]]),ISBLANK(tbl_SeqLib[[#This Row],[Sample Type]]),ISBLANK(tbl_SeqLib[[#This Row],[PCR '[DNA'] (ng / µl)]])),FALSE,TRUE)</f>
        <v>0</v>
      </c>
      <c r="J61" s="34" t="str">
        <f>IF(tbl_SeqLib[[#This Row],[Duplicate Barcode]],"DUPLICATE BARCODE",IF(AND(tbl_SeqLib[[#This Row],[Data entered]],NOT(tbl_SeqLib[[#This Row],[Valid Entry]])),"Incomplete Entry",""))</f>
        <v/>
      </c>
    </row>
    <row r="62" spans="1:10" ht="15.75" customHeight="1" x14ac:dyDescent="0.3">
      <c r="A62" s="33" t="s">
        <v>56</v>
      </c>
      <c r="B62" s="23"/>
      <c r="C62" s="20">
        <v>53</v>
      </c>
      <c r="D62" s="2"/>
      <c r="E62" s="10"/>
      <c r="F62" s="52" t="str">
        <f>CONCATENATE("barcode",TEXT(tbl_SeqLib[[#This Row],[Barcode]],"00"))</f>
        <v>barcode53</v>
      </c>
      <c r="G62" s="25" t="b">
        <f>IF(COUNTIF(tbl_SeqLib[Barcode],tbl_SeqLib[[#This Row],[Barcode]])&gt;1,TRUE,FALSE)</f>
        <v>0</v>
      </c>
      <c r="H62" s="25" t="b">
        <f>IF(OR(ISBLANK(tbl_SeqLib[[#This Row],[Sample ID]]),ISBLANK(tbl_SeqLib[[#This Row],[Barcode]]),ISBLANK(tbl_SeqLib[[#This Row],[Sample Type]])),FALSE, TRUE)</f>
        <v>0</v>
      </c>
      <c r="I62" s="25" t="b">
        <f>IF(AND(ISBLANK(tbl_SeqLib[[#This Row],[Sample ID]]),ISBLANK(tbl_SeqLib[[#This Row],[Sample Type]]),ISBLANK(tbl_SeqLib[[#This Row],[PCR '[DNA'] (ng / µl)]])),FALSE,TRUE)</f>
        <v>0</v>
      </c>
      <c r="J62" s="34" t="str">
        <f>IF(tbl_SeqLib[[#This Row],[Duplicate Barcode]],"DUPLICATE BARCODE",IF(AND(tbl_SeqLib[[#This Row],[Data entered]],NOT(tbl_SeqLib[[#This Row],[Valid Entry]])),"Incomplete Entry",""))</f>
        <v/>
      </c>
    </row>
    <row r="63" spans="1:10" ht="15.75" customHeight="1" x14ac:dyDescent="0.3">
      <c r="A63" s="33" t="s">
        <v>57</v>
      </c>
      <c r="B63" s="23"/>
      <c r="C63" s="20">
        <v>54</v>
      </c>
      <c r="D63" s="2"/>
      <c r="E63" s="10"/>
      <c r="F63" s="52" t="str">
        <f>CONCATENATE("barcode",TEXT(tbl_SeqLib[[#This Row],[Barcode]],"00"))</f>
        <v>barcode54</v>
      </c>
      <c r="G63" s="25" t="b">
        <f>IF(COUNTIF(tbl_SeqLib[Barcode],tbl_SeqLib[[#This Row],[Barcode]])&gt;1,TRUE,FALSE)</f>
        <v>0</v>
      </c>
      <c r="H63" s="25" t="b">
        <f>IF(OR(ISBLANK(tbl_SeqLib[[#This Row],[Sample ID]]),ISBLANK(tbl_SeqLib[[#This Row],[Barcode]]),ISBLANK(tbl_SeqLib[[#This Row],[Sample Type]])),FALSE, TRUE)</f>
        <v>0</v>
      </c>
      <c r="I63" s="25" t="b">
        <f>IF(AND(ISBLANK(tbl_SeqLib[[#This Row],[Sample ID]]),ISBLANK(tbl_SeqLib[[#This Row],[Sample Type]]),ISBLANK(tbl_SeqLib[[#This Row],[PCR '[DNA'] (ng / µl)]])),FALSE,TRUE)</f>
        <v>0</v>
      </c>
      <c r="J63" s="34" t="str">
        <f>IF(tbl_SeqLib[[#This Row],[Duplicate Barcode]],"DUPLICATE BARCODE",IF(AND(tbl_SeqLib[[#This Row],[Data entered]],NOT(tbl_SeqLib[[#This Row],[Valid Entry]])),"Incomplete Entry",""))</f>
        <v/>
      </c>
    </row>
    <row r="64" spans="1:10" ht="15.75" customHeight="1" x14ac:dyDescent="0.3">
      <c r="A64" s="33" t="s">
        <v>58</v>
      </c>
      <c r="B64" s="23"/>
      <c r="C64" s="20">
        <v>55</v>
      </c>
      <c r="D64" s="2"/>
      <c r="E64" s="10"/>
      <c r="F64" s="52" t="str">
        <f>CONCATENATE("barcode",TEXT(tbl_SeqLib[[#This Row],[Barcode]],"00"))</f>
        <v>barcode55</v>
      </c>
      <c r="G64" s="25" t="b">
        <f>IF(COUNTIF(tbl_SeqLib[Barcode],tbl_SeqLib[[#This Row],[Barcode]])&gt;1,TRUE,FALSE)</f>
        <v>0</v>
      </c>
      <c r="H64" s="25" t="b">
        <f>IF(OR(ISBLANK(tbl_SeqLib[[#This Row],[Sample ID]]),ISBLANK(tbl_SeqLib[[#This Row],[Barcode]]),ISBLANK(tbl_SeqLib[[#This Row],[Sample Type]])),FALSE, TRUE)</f>
        <v>0</v>
      </c>
      <c r="I64" s="25" t="b">
        <f>IF(AND(ISBLANK(tbl_SeqLib[[#This Row],[Sample ID]]),ISBLANK(tbl_SeqLib[[#This Row],[Sample Type]]),ISBLANK(tbl_SeqLib[[#This Row],[PCR '[DNA'] (ng / µl)]])),FALSE,TRUE)</f>
        <v>0</v>
      </c>
      <c r="J64" s="34" t="str">
        <f>IF(tbl_SeqLib[[#This Row],[Duplicate Barcode]],"DUPLICATE BARCODE",IF(AND(tbl_SeqLib[[#This Row],[Data entered]],NOT(tbl_SeqLib[[#This Row],[Valid Entry]])),"Incomplete Entry",""))</f>
        <v/>
      </c>
    </row>
    <row r="65" spans="1:10" ht="15.75" customHeight="1" thickBot="1" x14ac:dyDescent="0.35">
      <c r="A65" s="35" t="s">
        <v>59</v>
      </c>
      <c r="B65" s="24"/>
      <c r="C65" s="21">
        <v>56</v>
      </c>
      <c r="D65" s="4"/>
      <c r="E65" s="11"/>
      <c r="F65" s="53" t="str">
        <f>CONCATENATE("barcode",TEXT(tbl_SeqLib[[#This Row],[Barcode]],"00"))</f>
        <v>barcode56</v>
      </c>
      <c r="G65" s="36" t="b">
        <f>IF(COUNTIF(tbl_SeqLib[Barcode],tbl_SeqLib[[#This Row],[Barcode]])&gt;1,TRUE,FALSE)</f>
        <v>0</v>
      </c>
      <c r="H65" s="36" t="b">
        <f>IF(OR(ISBLANK(tbl_SeqLib[[#This Row],[Sample ID]]),ISBLANK(tbl_SeqLib[[#This Row],[Barcode]]),ISBLANK(tbl_SeqLib[[#This Row],[Sample Type]])),FALSE, TRUE)</f>
        <v>0</v>
      </c>
      <c r="I65" s="36" t="b">
        <f>IF(AND(ISBLANK(tbl_SeqLib[[#This Row],[Sample ID]]),ISBLANK(tbl_SeqLib[[#This Row],[Sample Type]]),ISBLANK(tbl_SeqLib[[#This Row],[PCR '[DNA'] (ng / µl)]])),FALSE,TRUE)</f>
        <v>0</v>
      </c>
      <c r="J65" s="37" t="str">
        <f>IF(tbl_SeqLib[[#This Row],[Duplicate Barcode]],"DUPLICATE BARCODE",IF(AND(tbl_SeqLib[[#This Row],[Data entered]],NOT(tbl_SeqLib[[#This Row],[Valid Entry]])),"Incomplete Entry",""))</f>
        <v/>
      </c>
    </row>
    <row r="66" spans="1:10" ht="15.75" customHeight="1" x14ac:dyDescent="0.3">
      <c r="A66" s="30" t="s">
        <v>60</v>
      </c>
      <c r="B66" s="22"/>
      <c r="C66" s="19">
        <v>57</v>
      </c>
      <c r="D66" s="3"/>
      <c r="E66" s="9"/>
      <c r="F66" s="51" t="str">
        <f>CONCATENATE("barcode",TEXT(tbl_SeqLib[[#This Row],[Barcode]],"00"))</f>
        <v>barcode57</v>
      </c>
      <c r="G66" s="31" t="b">
        <f>IF(COUNTIF(tbl_SeqLib[Barcode],tbl_SeqLib[[#This Row],[Barcode]])&gt;1,TRUE,FALSE)</f>
        <v>0</v>
      </c>
      <c r="H66" s="31" t="b">
        <f>IF(OR(ISBLANK(tbl_SeqLib[[#This Row],[Sample ID]]),ISBLANK(tbl_SeqLib[[#This Row],[Barcode]]),ISBLANK(tbl_SeqLib[[#This Row],[Sample Type]])),FALSE, TRUE)</f>
        <v>0</v>
      </c>
      <c r="I66" s="31" t="b">
        <f>IF(AND(ISBLANK(tbl_SeqLib[[#This Row],[Sample ID]]),ISBLANK(tbl_SeqLib[[#This Row],[Sample Type]]),ISBLANK(tbl_SeqLib[[#This Row],[PCR '[DNA'] (ng / µl)]])),FALSE,TRUE)</f>
        <v>0</v>
      </c>
      <c r="J66" s="32" t="str">
        <f>IF(tbl_SeqLib[[#This Row],[Duplicate Barcode]],"DUPLICATE BARCODE",IF(AND(tbl_SeqLib[[#This Row],[Data entered]],NOT(tbl_SeqLib[[#This Row],[Valid Entry]])),"Incomplete Entry",""))</f>
        <v/>
      </c>
    </row>
    <row r="67" spans="1:10" ht="15.75" customHeight="1" x14ac:dyDescent="0.3">
      <c r="A67" s="33" t="s">
        <v>61</v>
      </c>
      <c r="B67" s="23"/>
      <c r="C67" s="20">
        <v>58</v>
      </c>
      <c r="D67" s="2"/>
      <c r="E67" s="10"/>
      <c r="F67" s="52" t="str">
        <f>CONCATENATE("barcode",TEXT(tbl_SeqLib[[#This Row],[Barcode]],"00"))</f>
        <v>barcode58</v>
      </c>
      <c r="G67" s="25" t="b">
        <f>IF(COUNTIF(tbl_SeqLib[Barcode],tbl_SeqLib[[#This Row],[Barcode]])&gt;1,TRUE,FALSE)</f>
        <v>0</v>
      </c>
      <c r="H67" s="25" t="b">
        <f>IF(OR(ISBLANK(tbl_SeqLib[[#This Row],[Sample ID]]),ISBLANK(tbl_SeqLib[[#This Row],[Barcode]]),ISBLANK(tbl_SeqLib[[#This Row],[Sample Type]])),FALSE, TRUE)</f>
        <v>0</v>
      </c>
      <c r="I67" s="25" t="b">
        <f>IF(AND(ISBLANK(tbl_SeqLib[[#This Row],[Sample ID]]),ISBLANK(tbl_SeqLib[[#This Row],[Sample Type]]),ISBLANK(tbl_SeqLib[[#This Row],[PCR '[DNA'] (ng / µl)]])),FALSE,TRUE)</f>
        <v>0</v>
      </c>
      <c r="J67" s="34" t="str">
        <f>IF(tbl_SeqLib[[#This Row],[Duplicate Barcode]],"DUPLICATE BARCODE",IF(AND(tbl_SeqLib[[#This Row],[Data entered]],NOT(tbl_SeqLib[[#This Row],[Valid Entry]])),"Incomplete Entry",""))</f>
        <v/>
      </c>
    </row>
    <row r="68" spans="1:10" ht="15.75" customHeight="1" x14ac:dyDescent="0.3">
      <c r="A68" s="33" t="s">
        <v>62</v>
      </c>
      <c r="B68" s="23"/>
      <c r="C68" s="20">
        <v>59</v>
      </c>
      <c r="D68" s="2"/>
      <c r="E68" s="10"/>
      <c r="F68" s="52" t="str">
        <f>CONCATENATE("barcode",TEXT(tbl_SeqLib[[#This Row],[Barcode]],"00"))</f>
        <v>barcode59</v>
      </c>
      <c r="G68" s="25" t="b">
        <f>IF(COUNTIF(tbl_SeqLib[Barcode],tbl_SeqLib[[#This Row],[Barcode]])&gt;1,TRUE,FALSE)</f>
        <v>0</v>
      </c>
      <c r="H68" s="25" t="b">
        <f>IF(OR(ISBLANK(tbl_SeqLib[[#This Row],[Sample ID]]),ISBLANK(tbl_SeqLib[[#This Row],[Barcode]]),ISBLANK(tbl_SeqLib[[#This Row],[Sample Type]])),FALSE, TRUE)</f>
        <v>0</v>
      </c>
      <c r="I68" s="25" t="b">
        <f>IF(AND(ISBLANK(tbl_SeqLib[[#This Row],[Sample ID]]),ISBLANK(tbl_SeqLib[[#This Row],[Sample Type]]),ISBLANK(tbl_SeqLib[[#This Row],[PCR '[DNA'] (ng / µl)]])),FALSE,TRUE)</f>
        <v>0</v>
      </c>
      <c r="J68" s="34" t="str">
        <f>IF(tbl_SeqLib[[#This Row],[Duplicate Barcode]],"DUPLICATE BARCODE",IF(AND(tbl_SeqLib[[#This Row],[Data entered]],NOT(tbl_SeqLib[[#This Row],[Valid Entry]])),"Incomplete Entry",""))</f>
        <v/>
      </c>
    </row>
    <row r="69" spans="1:10" ht="15.75" customHeight="1" x14ac:dyDescent="0.3">
      <c r="A69" s="33" t="s">
        <v>63</v>
      </c>
      <c r="B69" s="23"/>
      <c r="C69" s="20">
        <v>60</v>
      </c>
      <c r="D69" s="2"/>
      <c r="E69" s="10"/>
      <c r="F69" s="52" t="str">
        <f>CONCATENATE("barcode",TEXT(tbl_SeqLib[[#This Row],[Barcode]],"00"))</f>
        <v>barcode60</v>
      </c>
      <c r="G69" s="25" t="b">
        <f>IF(COUNTIF(tbl_SeqLib[Barcode],tbl_SeqLib[[#This Row],[Barcode]])&gt;1,TRUE,FALSE)</f>
        <v>0</v>
      </c>
      <c r="H69" s="25" t="b">
        <f>IF(OR(ISBLANK(tbl_SeqLib[[#This Row],[Sample ID]]),ISBLANK(tbl_SeqLib[[#This Row],[Barcode]]),ISBLANK(tbl_SeqLib[[#This Row],[Sample Type]])),FALSE, TRUE)</f>
        <v>0</v>
      </c>
      <c r="I69" s="25" t="b">
        <f>IF(AND(ISBLANK(tbl_SeqLib[[#This Row],[Sample ID]]),ISBLANK(tbl_SeqLib[[#This Row],[Sample Type]]),ISBLANK(tbl_SeqLib[[#This Row],[PCR '[DNA'] (ng / µl)]])),FALSE,TRUE)</f>
        <v>0</v>
      </c>
      <c r="J69" s="34" t="str">
        <f>IF(tbl_SeqLib[[#This Row],[Duplicate Barcode]],"DUPLICATE BARCODE",IF(AND(tbl_SeqLib[[#This Row],[Data entered]],NOT(tbl_SeqLib[[#This Row],[Valid Entry]])),"Incomplete Entry",""))</f>
        <v/>
      </c>
    </row>
    <row r="70" spans="1:10" ht="15.75" customHeight="1" x14ac:dyDescent="0.3">
      <c r="A70" s="33" t="s">
        <v>64</v>
      </c>
      <c r="B70" s="23"/>
      <c r="C70" s="20">
        <v>61</v>
      </c>
      <c r="D70" s="2"/>
      <c r="E70" s="10"/>
      <c r="F70" s="52" t="str">
        <f>CONCATENATE("barcode",TEXT(tbl_SeqLib[[#This Row],[Barcode]],"00"))</f>
        <v>barcode61</v>
      </c>
      <c r="G70" s="25" t="b">
        <f>IF(COUNTIF(tbl_SeqLib[Barcode],tbl_SeqLib[[#This Row],[Barcode]])&gt;1,TRUE,FALSE)</f>
        <v>0</v>
      </c>
      <c r="H70" s="25" t="b">
        <f>IF(OR(ISBLANK(tbl_SeqLib[[#This Row],[Sample ID]]),ISBLANK(tbl_SeqLib[[#This Row],[Barcode]]),ISBLANK(tbl_SeqLib[[#This Row],[Sample Type]])),FALSE, TRUE)</f>
        <v>0</v>
      </c>
      <c r="I70" s="25" t="b">
        <f>IF(AND(ISBLANK(tbl_SeqLib[[#This Row],[Sample ID]]),ISBLANK(tbl_SeqLib[[#This Row],[Sample Type]]),ISBLANK(tbl_SeqLib[[#This Row],[PCR '[DNA'] (ng / µl)]])),FALSE,TRUE)</f>
        <v>0</v>
      </c>
      <c r="J70" s="34" t="str">
        <f>IF(tbl_SeqLib[[#This Row],[Duplicate Barcode]],"DUPLICATE BARCODE",IF(AND(tbl_SeqLib[[#This Row],[Data entered]],NOT(tbl_SeqLib[[#This Row],[Valid Entry]])),"Incomplete Entry",""))</f>
        <v/>
      </c>
    </row>
    <row r="71" spans="1:10" ht="15.75" customHeight="1" x14ac:dyDescent="0.3">
      <c r="A71" s="33" t="s">
        <v>65</v>
      </c>
      <c r="B71" s="23"/>
      <c r="C71" s="20">
        <v>62</v>
      </c>
      <c r="D71" s="2"/>
      <c r="E71" s="10"/>
      <c r="F71" s="52" t="str">
        <f>CONCATENATE("barcode",TEXT(tbl_SeqLib[[#This Row],[Barcode]],"00"))</f>
        <v>barcode62</v>
      </c>
      <c r="G71" s="25" t="b">
        <f>IF(COUNTIF(tbl_SeqLib[Barcode],tbl_SeqLib[[#This Row],[Barcode]])&gt;1,TRUE,FALSE)</f>
        <v>0</v>
      </c>
      <c r="H71" s="25" t="b">
        <f>IF(OR(ISBLANK(tbl_SeqLib[[#This Row],[Sample ID]]),ISBLANK(tbl_SeqLib[[#This Row],[Barcode]]),ISBLANK(tbl_SeqLib[[#This Row],[Sample Type]])),FALSE, TRUE)</f>
        <v>0</v>
      </c>
      <c r="I71" s="25" t="b">
        <f>IF(AND(ISBLANK(tbl_SeqLib[[#This Row],[Sample ID]]),ISBLANK(tbl_SeqLib[[#This Row],[Sample Type]]),ISBLANK(tbl_SeqLib[[#This Row],[PCR '[DNA'] (ng / µl)]])),FALSE,TRUE)</f>
        <v>0</v>
      </c>
      <c r="J71" s="34" t="str">
        <f>IF(tbl_SeqLib[[#This Row],[Duplicate Barcode]],"DUPLICATE BARCODE",IF(AND(tbl_SeqLib[[#This Row],[Data entered]],NOT(tbl_SeqLib[[#This Row],[Valid Entry]])),"Incomplete Entry",""))</f>
        <v/>
      </c>
    </row>
    <row r="72" spans="1:10" ht="15.75" customHeight="1" x14ac:dyDescent="0.3">
      <c r="A72" s="33" t="s">
        <v>66</v>
      </c>
      <c r="B72" s="23"/>
      <c r="C72" s="20">
        <v>63</v>
      </c>
      <c r="D72" s="2"/>
      <c r="E72" s="10"/>
      <c r="F72" s="52" t="str">
        <f>CONCATENATE("barcode",TEXT(tbl_SeqLib[[#This Row],[Barcode]],"00"))</f>
        <v>barcode63</v>
      </c>
      <c r="G72" s="25" t="b">
        <f>IF(COUNTIF(tbl_SeqLib[Barcode],tbl_SeqLib[[#This Row],[Barcode]])&gt;1,TRUE,FALSE)</f>
        <v>0</v>
      </c>
      <c r="H72" s="25" t="b">
        <f>IF(OR(ISBLANK(tbl_SeqLib[[#This Row],[Sample ID]]),ISBLANK(tbl_SeqLib[[#This Row],[Barcode]]),ISBLANK(tbl_SeqLib[[#This Row],[Sample Type]])),FALSE, TRUE)</f>
        <v>0</v>
      </c>
      <c r="I72" s="25" t="b">
        <f>IF(AND(ISBLANK(tbl_SeqLib[[#This Row],[Sample ID]]),ISBLANK(tbl_SeqLib[[#This Row],[Sample Type]]),ISBLANK(tbl_SeqLib[[#This Row],[PCR '[DNA'] (ng / µl)]])),FALSE,TRUE)</f>
        <v>0</v>
      </c>
      <c r="J72" s="34" t="str">
        <f>IF(tbl_SeqLib[[#This Row],[Duplicate Barcode]],"DUPLICATE BARCODE",IF(AND(tbl_SeqLib[[#This Row],[Data entered]],NOT(tbl_SeqLib[[#This Row],[Valid Entry]])),"Incomplete Entry",""))</f>
        <v/>
      </c>
    </row>
    <row r="73" spans="1:10" ht="15.75" customHeight="1" thickBot="1" x14ac:dyDescent="0.35">
      <c r="A73" s="35" t="s">
        <v>67</v>
      </c>
      <c r="B73" s="24"/>
      <c r="C73" s="21">
        <v>64</v>
      </c>
      <c r="D73" s="4"/>
      <c r="E73" s="11"/>
      <c r="F73" s="53" t="str">
        <f>CONCATENATE("barcode",TEXT(tbl_SeqLib[[#This Row],[Barcode]],"00"))</f>
        <v>barcode64</v>
      </c>
      <c r="G73" s="36" t="b">
        <f>IF(COUNTIF(tbl_SeqLib[Barcode],tbl_SeqLib[[#This Row],[Barcode]])&gt;1,TRUE,FALSE)</f>
        <v>0</v>
      </c>
      <c r="H73" s="36" t="b">
        <f>IF(OR(ISBLANK(tbl_SeqLib[[#This Row],[Sample ID]]),ISBLANK(tbl_SeqLib[[#This Row],[Barcode]]),ISBLANK(tbl_SeqLib[[#This Row],[Sample Type]])),FALSE, TRUE)</f>
        <v>0</v>
      </c>
      <c r="I73" s="36" t="b">
        <f>IF(AND(ISBLANK(tbl_SeqLib[[#This Row],[Sample ID]]),ISBLANK(tbl_SeqLib[[#This Row],[Sample Type]]),ISBLANK(tbl_SeqLib[[#This Row],[PCR '[DNA'] (ng / µl)]])),FALSE,TRUE)</f>
        <v>0</v>
      </c>
      <c r="J73" s="37" t="str">
        <f>IF(tbl_SeqLib[[#This Row],[Duplicate Barcode]],"DUPLICATE BARCODE",IF(AND(tbl_SeqLib[[#This Row],[Data entered]],NOT(tbl_SeqLib[[#This Row],[Valid Entry]])),"Incomplete Entry",""))</f>
        <v/>
      </c>
    </row>
    <row r="74" spans="1:10" ht="15.75" customHeight="1" x14ac:dyDescent="0.3">
      <c r="A74" s="30" t="s">
        <v>68</v>
      </c>
      <c r="B74" s="22"/>
      <c r="C74" s="19">
        <v>65</v>
      </c>
      <c r="D74" s="3"/>
      <c r="E74" s="9"/>
      <c r="F74" s="51" t="str">
        <f>CONCATENATE("barcode",TEXT(tbl_SeqLib[[#This Row],[Barcode]],"00"))</f>
        <v>barcode65</v>
      </c>
      <c r="G74" s="31" t="b">
        <f>IF(COUNTIF(tbl_SeqLib[Barcode],tbl_SeqLib[[#This Row],[Barcode]])&gt;1,TRUE,FALSE)</f>
        <v>0</v>
      </c>
      <c r="H74" s="31" t="b">
        <f>IF(OR(ISBLANK(tbl_SeqLib[[#This Row],[Sample ID]]),ISBLANK(tbl_SeqLib[[#This Row],[Barcode]]),ISBLANK(tbl_SeqLib[[#This Row],[Sample Type]])),FALSE, TRUE)</f>
        <v>0</v>
      </c>
      <c r="I74" s="31" t="b">
        <f>IF(AND(ISBLANK(tbl_SeqLib[[#This Row],[Sample ID]]),ISBLANK(tbl_SeqLib[[#This Row],[Sample Type]]),ISBLANK(tbl_SeqLib[[#This Row],[PCR '[DNA'] (ng / µl)]])),FALSE,TRUE)</f>
        <v>0</v>
      </c>
      <c r="J74" s="32" t="str">
        <f>IF(tbl_SeqLib[[#This Row],[Duplicate Barcode]],"DUPLICATE BARCODE",IF(AND(tbl_SeqLib[[#This Row],[Data entered]],NOT(tbl_SeqLib[[#This Row],[Valid Entry]])),"Incomplete Entry",""))</f>
        <v/>
      </c>
    </row>
    <row r="75" spans="1:10" ht="15.75" customHeight="1" x14ac:dyDescent="0.3">
      <c r="A75" s="33" t="s">
        <v>69</v>
      </c>
      <c r="B75" s="23"/>
      <c r="C75" s="20">
        <v>66</v>
      </c>
      <c r="D75" s="2"/>
      <c r="E75" s="10"/>
      <c r="F75" s="52" t="str">
        <f>CONCATENATE("barcode",TEXT(tbl_SeqLib[[#This Row],[Barcode]],"00"))</f>
        <v>barcode66</v>
      </c>
      <c r="G75" s="25" t="b">
        <f>IF(COUNTIF(tbl_SeqLib[Barcode],tbl_SeqLib[[#This Row],[Barcode]])&gt;1,TRUE,FALSE)</f>
        <v>0</v>
      </c>
      <c r="H75" s="25" t="b">
        <f>IF(OR(ISBLANK(tbl_SeqLib[[#This Row],[Sample ID]]),ISBLANK(tbl_SeqLib[[#This Row],[Barcode]]),ISBLANK(tbl_SeqLib[[#This Row],[Sample Type]])),FALSE, TRUE)</f>
        <v>0</v>
      </c>
      <c r="I75" s="25" t="b">
        <f>IF(AND(ISBLANK(tbl_SeqLib[[#This Row],[Sample ID]]),ISBLANK(tbl_SeqLib[[#This Row],[Sample Type]]),ISBLANK(tbl_SeqLib[[#This Row],[PCR '[DNA'] (ng / µl)]])),FALSE,TRUE)</f>
        <v>0</v>
      </c>
      <c r="J75" s="34" t="str">
        <f>IF(tbl_SeqLib[[#This Row],[Duplicate Barcode]],"DUPLICATE BARCODE",IF(AND(tbl_SeqLib[[#This Row],[Data entered]],NOT(tbl_SeqLib[[#This Row],[Valid Entry]])),"Incomplete Entry",""))</f>
        <v/>
      </c>
    </row>
    <row r="76" spans="1:10" ht="15.75" customHeight="1" x14ac:dyDescent="0.3">
      <c r="A76" s="33" t="s">
        <v>70</v>
      </c>
      <c r="B76" s="23"/>
      <c r="C76" s="20">
        <v>67</v>
      </c>
      <c r="D76" s="2"/>
      <c r="E76" s="10"/>
      <c r="F76" s="52" t="str">
        <f>CONCATENATE("barcode",TEXT(tbl_SeqLib[[#This Row],[Barcode]],"00"))</f>
        <v>barcode67</v>
      </c>
      <c r="G76" s="25" t="b">
        <f>IF(COUNTIF(tbl_SeqLib[Barcode],tbl_SeqLib[[#This Row],[Barcode]])&gt;1,TRUE,FALSE)</f>
        <v>0</v>
      </c>
      <c r="H76" s="25" t="b">
        <f>IF(OR(ISBLANK(tbl_SeqLib[[#This Row],[Sample ID]]),ISBLANK(tbl_SeqLib[[#This Row],[Barcode]]),ISBLANK(tbl_SeqLib[[#This Row],[Sample Type]])),FALSE, TRUE)</f>
        <v>0</v>
      </c>
      <c r="I76" s="25" t="b">
        <f>IF(AND(ISBLANK(tbl_SeqLib[[#This Row],[Sample ID]]),ISBLANK(tbl_SeqLib[[#This Row],[Sample Type]]),ISBLANK(tbl_SeqLib[[#This Row],[PCR '[DNA'] (ng / µl)]])),FALSE,TRUE)</f>
        <v>0</v>
      </c>
      <c r="J76" s="34" t="str">
        <f>IF(tbl_SeqLib[[#This Row],[Duplicate Barcode]],"DUPLICATE BARCODE",IF(AND(tbl_SeqLib[[#This Row],[Data entered]],NOT(tbl_SeqLib[[#This Row],[Valid Entry]])),"Incomplete Entry",""))</f>
        <v/>
      </c>
    </row>
    <row r="77" spans="1:10" ht="15.75" customHeight="1" x14ac:dyDescent="0.3">
      <c r="A77" s="33" t="s">
        <v>71</v>
      </c>
      <c r="B77" s="23"/>
      <c r="C77" s="20">
        <v>68</v>
      </c>
      <c r="D77" s="2"/>
      <c r="E77" s="10"/>
      <c r="F77" s="52" t="str">
        <f>CONCATENATE("barcode",TEXT(tbl_SeqLib[[#This Row],[Barcode]],"00"))</f>
        <v>barcode68</v>
      </c>
      <c r="G77" s="25" t="b">
        <f>IF(COUNTIF(tbl_SeqLib[Barcode],tbl_SeqLib[[#This Row],[Barcode]])&gt;1,TRUE,FALSE)</f>
        <v>0</v>
      </c>
      <c r="H77" s="25" t="b">
        <f>IF(OR(ISBLANK(tbl_SeqLib[[#This Row],[Sample ID]]),ISBLANK(tbl_SeqLib[[#This Row],[Barcode]]),ISBLANK(tbl_SeqLib[[#This Row],[Sample Type]])),FALSE, TRUE)</f>
        <v>0</v>
      </c>
      <c r="I77" s="25" t="b">
        <f>IF(AND(ISBLANK(tbl_SeqLib[[#This Row],[Sample ID]]),ISBLANK(tbl_SeqLib[[#This Row],[Sample Type]]),ISBLANK(tbl_SeqLib[[#This Row],[PCR '[DNA'] (ng / µl)]])),FALSE,TRUE)</f>
        <v>0</v>
      </c>
      <c r="J77" s="34" t="str">
        <f>IF(tbl_SeqLib[[#This Row],[Duplicate Barcode]],"DUPLICATE BARCODE",IF(AND(tbl_SeqLib[[#This Row],[Data entered]],NOT(tbl_SeqLib[[#This Row],[Valid Entry]])),"Incomplete Entry",""))</f>
        <v/>
      </c>
    </row>
    <row r="78" spans="1:10" ht="15.75" customHeight="1" x14ac:dyDescent="0.3">
      <c r="A78" s="33" t="s">
        <v>72</v>
      </c>
      <c r="B78" s="23"/>
      <c r="C78" s="20">
        <v>69</v>
      </c>
      <c r="D78" s="2"/>
      <c r="E78" s="10"/>
      <c r="F78" s="52" t="str">
        <f>CONCATENATE("barcode",TEXT(tbl_SeqLib[[#This Row],[Barcode]],"00"))</f>
        <v>barcode69</v>
      </c>
      <c r="G78" s="25" t="b">
        <f>IF(COUNTIF(tbl_SeqLib[Barcode],tbl_SeqLib[[#This Row],[Barcode]])&gt;1,TRUE,FALSE)</f>
        <v>0</v>
      </c>
      <c r="H78" s="25" t="b">
        <f>IF(OR(ISBLANK(tbl_SeqLib[[#This Row],[Sample ID]]),ISBLANK(tbl_SeqLib[[#This Row],[Barcode]]),ISBLANK(tbl_SeqLib[[#This Row],[Sample Type]])),FALSE, TRUE)</f>
        <v>0</v>
      </c>
      <c r="I78" s="25" t="b">
        <f>IF(AND(ISBLANK(tbl_SeqLib[[#This Row],[Sample ID]]),ISBLANK(tbl_SeqLib[[#This Row],[Sample Type]]),ISBLANK(tbl_SeqLib[[#This Row],[PCR '[DNA'] (ng / µl)]])),FALSE,TRUE)</f>
        <v>0</v>
      </c>
      <c r="J78" s="34" t="str">
        <f>IF(tbl_SeqLib[[#This Row],[Duplicate Barcode]],"DUPLICATE BARCODE",IF(AND(tbl_SeqLib[[#This Row],[Data entered]],NOT(tbl_SeqLib[[#This Row],[Valid Entry]])),"Incomplete Entry",""))</f>
        <v/>
      </c>
    </row>
    <row r="79" spans="1:10" ht="15.75" customHeight="1" x14ac:dyDescent="0.3">
      <c r="A79" s="33" t="s">
        <v>73</v>
      </c>
      <c r="B79" s="23"/>
      <c r="C79" s="20">
        <v>70</v>
      </c>
      <c r="D79" s="2"/>
      <c r="E79" s="10"/>
      <c r="F79" s="52" t="str">
        <f>CONCATENATE("barcode",TEXT(tbl_SeqLib[[#This Row],[Barcode]],"00"))</f>
        <v>barcode70</v>
      </c>
      <c r="G79" s="25" t="b">
        <f>IF(COUNTIF(tbl_SeqLib[Barcode],tbl_SeqLib[[#This Row],[Barcode]])&gt;1,TRUE,FALSE)</f>
        <v>0</v>
      </c>
      <c r="H79" s="25" t="b">
        <f>IF(OR(ISBLANK(tbl_SeqLib[[#This Row],[Sample ID]]),ISBLANK(tbl_SeqLib[[#This Row],[Barcode]]),ISBLANK(tbl_SeqLib[[#This Row],[Sample Type]])),FALSE, TRUE)</f>
        <v>0</v>
      </c>
      <c r="I79" s="25" t="b">
        <f>IF(AND(ISBLANK(tbl_SeqLib[[#This Row],[Sample ID]]),ISBLANK(tbl_SeqLib[[#This Row],[Sample Type]]),ISBLANK(tbl_SeqLib[[#This Row],[PCR '[DNA'] (ng / µl)]])),FALSE,TRUE)</f>
        <v>0</v>
      </c>
      <c r="J79" s="34" t="str">
        <f>IF(tbl_SeqLib[[#This Row],[Duplicate Barcode]],"DUPLICATE BARCODE",IF(AND(tbl_SeqLib[[#This Row],[Data entered]],NOT(tbl_SeqLib[[#This Row],[Valid Entry]])),"Incomplete Entry",""))</f>
        <v/>
      </c>
    </row>
    <row r="80" spans="1:10" ht="15.75" customHeight="1" x14ac:dyDescent="0.3">
      <c r="A80" s="33" t="s">
        <v>74</v>
      </c>
      <c r="B80" s="23"/>
      <c r="C80" s="20">
        <v>71</v>
      </c>
      <c r="D80" s="2"/>
      <c r="E80" s="10"/>
      <c r="F80" s="52" t="str">
        <f>CONCATENATE("barcode",TEXT(tbl_SeqLib[[#This Row],[Barcode]],"00"))</f>
        <v>barcode71</v>
      </c>
      <c r="G80" s="25" t="b">
        <f>IF(COUNTIF(tbl_SeqLib[Barcode],tbl_SeqLib[[#This Row],[Barcode]])&gt;1,TRUE,FALSE)</f>
        <v>0</v>
      </c>
      <c r="H80" s="25" t="b">
        <f>IF(OR(ISBLANK(tbl_SeqLib[[#This Row],[Sample ID]]),ISBLANK(tbl_SeqLib[[#This Row],[Barcode]]),ISBLANK(tbl_SeqLib[[#This Row],[Sample Type]])),FALSE, TRUE)</f>
        <v>0</v>
      </c>
      <c r="I80" s="25" t="b">
        <f>IF(AND(ISBLANK(tbl_SeqLib[[#This Row],[Sample ID]]),ISBLANK(tbl_SeqLib[[#This Row],[Sample Type]]),ISBLANK(tbl_SeqLib[[#This Row],[PCR '[DNA'] (ng / µl)]])),FALSE,TRUE)</f>
        <v>0</v>
      </c>
      <c r="J80" s="34" t="str">
        <f>IF(tbl_SeqLib[[#This Row],[Duplicate Barcode]],"DUPLICATE BARCODE",IF(AND(tbl_SeqLib[[#This Row],[Data entered]],NOT(tbl_SeqLib[[#This Row],[Valid Entry]])),"Incomplete Entry",""))</f>
        <v/>
      </c>
    </row>
    <row r="81" spans="1:10" ht="15.75" customHeight="1" thickBot="1" x14ac:dyDescent="0.35">
      <c r="A81" s="35" t="s">
        <v>75</v>
      </c>
      <c r="B81" s="24"/>
      <c r="C81" s="21">
        <v>72</v>
      </c>
      <c r="D81" s="4"/>
      <c r="E81" s="11"/>
      <c r="F81" s="53" t="str">
        <f>CONCATENATE("barcode",TEXT(tbl_SeqLib[[#This Row],[Barcode]],"00"))</f>
        <v>barcode72</v>
      </c>
      <c r="G81" s="36" t="b">
        <f>IF(COUNTIF(tbl_SeqLib[Barcode],tbl_SeqLib[[#This Row],[Barcode]])&gt;1,TRUE,FALSE)</f>
        <v>0</v>
      </c>
      <c r="H81" s="36" t="b">
        <f>IF(OR(ISBLANK(tbl_SeqLib[[#This Row],[Sample ID]]),ISBLANK(tbl_SeqLib[[#This Row],[Barcode]]),ISBLANK(tbl_SeqLib[[#This Row],[Sample Type]])),FALSE, TRUE)</f>
        <v>0</v>
      </c>
      <c r="I81" s="36" t="b">
        <f>IF(AND(ISBLANK(tbl_SeqLib[[#This Row],[Sample ID]]),ISBLANK(tbl_SeqLib[[#This Row],[Sample Type]]),ISBLANK(tbl_SeqLib[[#This Row],[PCR '[DNA'] (ng / µl)]])),FALSE,TRUE)</f>
        <v>0</v>
      </c>
      <c r="J81" s="37" t="str">
        <f>IF(tbl_SeqLib[[#This Row],[Duplicate Barcode]],"DUPLICATE BARCODE",IF(AND(tbl_SeqLib[[#This Row],[Data entered]],NOT(tbl_SeqLib[[#This Row],[Valid Entry]])),"Incomplete Entry",""))</f>
        <v/>
      </c>
    </row>
    <row r="82" spans="1:10" ht="15.75" customHeight="1" x14ac:dyDescent="0.3">
      <c r="A82" s="30" t="s">
        <v>76</v>
      </c>
      <c r="B82" s="22"/>
      <c r="C82" s="19">
        <v>73</v>
      </c>
      <c r="D82" s="3"/>
      <c r="E82" s="9"/>
      <c r="F82" s="51" t="str">
        <f>CONCATENATE("barcode",TEXT(tbl_SeqLib[[#This Row],[Barcode]],"00"))</f>
        <v>barcode73</v>
      </c>
      <c r="G82" s="31" t="b">
        <f>IF(COUNTIF(tbl_SeqLib[Barcode],tbl_SeqLib[[#This Row],[Barcode]])&gt;1,TRUE,FALSE)</f>
        <v>0</v>
      </c>
      <c r="H82" s="31" t="b">
        <f>IF(OR(ISBLANK(tbl_SeqLib[[#This Row],[Sample ID]]),ISBLANK(tbl_SeqLib[[#This Row],[Barcode]]),ISBLANK(tbl_SeqLib[[#This Row],[Sample Type]])),FALSE, TRUE)</f>
        <v>0</v>
      </c>
      <c r="I82" s="31" t="b">
        <f>IF(AND(ISBLANK(tbl_SeqLib[[#This Row],[Sample ID]]),ISBLANK(tbl_SeqLib[[#This Row],[Sample Type]]),ISBLANK(tbl_SeqLib[[#This Row],[PCR '[DNA'] (ng / µl)]])),FALSE,TRUE)</f>
        <v>0</v>
      </c>
      <c r="J82" s="32" t="str">
        <f>IF(tbl_SeqLib[[#This Row],[Duplicate Barcode]],"DUPLICATE BARCODE",IF(AND(tbl_SeqLib[[#This Row],[Data entered]],NOT(tbl_SeqLib[[#This Row],[Valid Entry]])),"Incomplete Entry",""))</f>
        <v/>
      </c>
    </row>
    <row r="83" spans="1:10" ht="15.75" customHeight="1" x14ac:dyDescent="0.3">
      <c r="A83" s="33" t="s">
        <v>77</v>
      </c>
      <c r="B83" s="23"/>
      <c r="C83" s="20">
        <v>74</v>
      </c>
      <c r="D83" s="2"/>
      <c r="E83" s="10"/>
      <c r="F83" s="52" t="str">
        <f>CONCATENATE("barcode",TEXT(tbl_SeqLib[[#This Row],[Barcode]],"00"))</f>
        <v>barcode74</v>
      </c>
      <c r="G83" s="25" t="b">
        <f>IF(COUNTIF(tbl_SeqLib[Barcode],tbl_SeqLib[[#This Row],[Barcode]])&gt;1,TRUE,FALSE)</f>
        <v>0</v>
      </c>
      <c r="H83" s="25" t="b">
        <f>IF(OR(ISBLANK(tbl_SeqLib[[#This Row],[Sample ID]]),ISBLANK(tbl_SeqLib[[#This Row],[Barcode]]),ISBLANK(tbl_SeqLib[[#This Row],[Sample Type]])),FALSE, TRUE)</f>
        <v>0</v>
      </c>
      <c r="I83" s="25" t="b">
        <f>IF(AND(ISBLANK(tbl_SeqLib[[#This Row],[Sample ID]]),ISBLANK(tbl_SeqLib[[#This Row],[Sample Type]]),ISBLANK(tbl_SeqLib[[#This Row],[PCR '[DNA'] (ng / µl)]])),FALSE,TRUE)</f>
        <v>0</v>
      </c>
      <c r="J83" s="34" t="str">
        <f>IF(tbl_SeqLib[[#This Row],[Duplicate Barcode]],"DUPLICATE BARCODE",IF(AND(tbl_SeqLib[[#This Row],[Data entered]],NOT(tbl_SeqLib[[#This Row],[Valid Entry]])),"Incomplete Entry",""))</f>
        <v/>
      </c>
    </row>
    <row r="84" spans="1:10" ht="15.75" customHeight="1" x14ac:dyDescent="0.3">
      <c r="A84" s="33" t="s">
        <v>78</v>
      </c>
      <c r="B84" s="23"/>
      <c r="C84" s="20">
        <v>75</v>
      </c>
      <c r="D84" s="2"/>
      <c r="E84" s="10"/>
      <c r="F84" s="52" t="str">
        <f>CONCATENATE("barcode",TEXT(tbl_SeqLib[[#This Row],[Barcode]],"00"))</f>
        <v>barcode75</v>
      </c>
      <c r="G84" s="25" t="b">
        <f>IF(COUNTIF(tbl_SeqLib[Barcode],tbl_SeqLib[[#This Row],[Barcode]])&gt;1,TRUE,FALSE)</f>
        <v>0</v>
      </c>
      <c r="H84" s="25" t="b">
        <f>IF(OR(ISBLANK(tbl_SeqLib[[#This Row],[Sample ID]]),ISBLANK(tbl_SeqLib[[#This Row],[Barcode]]),ISBLANK(tbl_SeqLib[[#This Row],[Sample Type]])),FALSE, TRUE)</f>
        <v>0</v>
      </c>
      <c r="I84" s="25" t="b">
        <f>IF(AND(ISBLANK(tbl_SeqLib[[#This Row],[Sample ID]]),ISBLANK(tbl_SeqLib[[#This Row],[Sample Type]]),ISBLANK(tbl_SeqLib[[#This Row],[PCR '[DNA'] (ng / µl)]])),FALSE,TRUE)</f>
        <v>0</v>
      </c>
      <c r="J84" s="34" t="str">
        <f>IF(tbl_SeqLib[[#This Row],[Duplicate Barcode]],"DUPLICATE BARCODE",IF(AND(tbl_SeqLib[[#This Row],[Data entered]],NOT(tbl_SeqLib[[#This Row],[Valid Entry]])),"Incomplete Entry",""))</f>
        <v/>
      </c>
    </row>
    <row r="85" spans="1:10" ht="15.75" customHeight="1" x14ac:dyDescent="0.3">
      <c r="A85" s="33" t="s">
        <v>79</v>
      </c>
      <c r="B85" s="23"/>
      <c r="C85" s="20">
        <v>76</v>
      </c>
      <c r="D85" s="2"/>
      <c r="E85" s="10"/>
      <c r="F85" s="52" t="str">
        <f>CONCATENATE("barcode",TEXT(tbl_SeqLib[[#This Row],[Barcode]],"00"))</f>
        <v>barcode76</v>
      </c>
      <c r="G85" s="25" t="b">
        <f>IF(COUNTIF(tbl_SeqLib[Barcode],tbl_SeqLib[[#This Row],[Barcode]])&gt;1,TRUE,FALSE)</f>
        <v>0</v>
      </c>
      <c r="H85" s="25" t="b">
        <f>IF(OR(ISBLANK(tbl_SeqLib[[#This Row],[Sample ID]]),ISBLANK(tbl_SeqLib[[#This Row],[Barcode]]),ISBLANK(tbl_SeqLib[[#This Row],[Sample Type]])),FALSE, TRUE)</f>
        <v>0</v>
      </c>
      <c r="I85" s="25" t="b">
        <f>IF(AND(ISBLANK(tbl_SeqLib[[#This Row],[Sample ID]]),ISBLANK(tbl_SeqLib[[#This Row],[Sample Type]]),ISBLANK(tbl_SeqLib[[#This Row],[PCR '[DNA'] (ng / µl)]])),FALSE,TRUE)</f>
        <v>0</v>
      </c>
      <c r="J85" s="34" t="str">
        <f>IF(tbl_SeqLib[[#This Row],[Duplicate Barcode]],"DUPLICATE BARCODE",IF(AND(tbl_SeqLib[[#This Row],[Data entered]],NOT(tbl_SeqLib[[#This Row],[Valid Entry]])),"Incomplete Entry",""))</f>
        <v/>
      </c>
    </row>
    <row r="86" spans="1:10" ht="15.75" customHeight="1" x14ac:dyDescent="0.3">
      <c r="A86" s="33" t="s">
        <v>80</v>
      </c>
      <c r="B86" s="23"/>
      <c r="C86" s="20">
        <v>77</v>
      </c>
      <c r="D86" s="2"/>
      <c r="E86" s="10"/>
      <c r="F86" s="52" t="str">
        <f>CONCATENATE("barcode",TEXT(tbl_SeqLib[[#This Row],[Barcode]],"00"))</f>
        <v>barcode77</v>
      </c>
      <c r="G86" s="25" t="b">
        <f>IF(COUNTIF(tbl_SeqLib[Barcode],tbl_SeqLib[[#This Row],[Barcode]])&gt;1,TRUE,FALSE)</f>
        <v>0</v>
      </c>
      <c r="H86" s="25" t="b">
        <f>IF(OR(ISBLANK(tbl_SeqLib[[#This Row],[Sample ID]]),ISBLANK(tbl_SeqLib[[#This Row],[Barcode]]),ISBLANK(tbl_SeqLib[[#This Row],[Sample Type]])),FALSE, TRUE)</f>
        <v>0</v>
      </c>
      <c r="I86" s="25" t="b">
        <f>IF(AND(ISBLANK(tbl_SeqLib[[#This Row],[Sample ID]]),ISBLANK(tbl_SeqLib[[#This Row],[Sample Type]]),ISBLANK(tbl_SeqLib[[#This Row],[PCR '[DNA'] (ng / µl)]])),FALSE,TRUE)</f>
        <v>0</v>
      </c>
      <c r="J86" s="34" t="str">
        <f>IF(tbl_SeqLib[[#This Row],[Duplicate Barcode]],"DUPLICATE BARCODE",IF(AND(tbl_SeqLib[[#This Row],[Data entered]],NOT(tbl_SeqLib[[#This Row],[Valid Entry]])),"Incomplete Entry",""))</f>
        <v/>
      </c>
    </row>
    <row r="87" spans="1:10" ht="15.75" customHeight="1" x14ac:dyDescent="0.3">
      <c r="A87" s="33" t="s">
        <v>81</v>
      </c>
      <c r="B87" s="23"/>
      <c r="C87" s="20">
        <v>78</v>
      </c>
      <c r="D87" s="2"/>
      <c r="E87" s="10"/>
      <c r="F87" s="52" t="str">
        <f>CONCATENATE("barcode",TEXT(tbl_SeqLib[[#This Row],[Barcode]],"00"))</f>
        <v>barcode78</v>
      </c>
      <c r="G87" s="25" t="b">
        <f>IF(COUNTIF(tbl_SeqLib[Barcode],tbl_SeqLib[[#This Row],[Barcode]])&gt;1,TRUE,FALSE)</f>
        <v>0</v>
      </c>
      <c r="H87" s="25" t="b">
        <f>IF(OR(ISBLANK(tbl_SeqLib[[#This Row],[Sample ID]]),ISBLANK(tbl_SeqLib[[#This Row],[Barcode]]),ISBLANK(tbl_SeqLib[[#This Row],[Sample Type]])),FALSE, TRUE)</f>
        <v>0</v>
      </c>
      <c r="I87" s="25" t="b">
        <f>IF(AND(ISBLANK(tbl_SeqLib[[#This Row],[Sample ID]]),ISBLANK(tbl_SeqLib[[#This Row],[Sample Type]]),ISBLANK(tbl_SeqLib[[#This Row],[PCR '[DNA'] (ng / µl)]])),FALSE,TRUE)</f>
        <v>0</v>
      </c>
      <c r="J87" s="34" t="str">
        <f>IF(tbl_SeqLib[[#This Row],[Duplicate Barcode]],"DUPLICATE BARCODE",IF(AND(tbl_SeqLib[[#This Row],[Data entered]],NOT(tbl_SeqLib[[#This Row],[Valid Entry]])),"Incomplete Entry",""))</f>
        <v/>
      </c>
    </row>
    <row r="88" spans="1:10" ht="15.75" customHeight="1" x14ac:dyDescent="0.3">
      <c r="A88" s="33" t="s">
        <v>82</v>
      </c>
      <c r="B88" s="23"/>
      <c r="C88" s="20">
        <v>79</v>
      </c>
      <c r="D88" s="2"/>
      <c r="E88" s="10"/>
      <c r="F88" s="52" t="str">
        <f>CONCATENATE("barcode",TEXT(tbl_SeqLib[[#This Row],[Barcode]],"00"))</f>
        <v>barcode79</v>
      </c>
      <c r="G88" s="25" t="b">
        <f>IF(COUNTIF(tbl_SeqLib[Barcode],tbl_SeqLib[[#This Row],[Barcode]])&gt;1,TRUE,FALSE)</f>
        <v>0</v>
      </c>
      <c r="H88" s="25" t="b">
        <f>IF(OR(ISBLANK(tbl_SeqLib[[#This Row],[Sample ID]]),ISBLANK(tbl_SeqLib[[#This Row],[Barcode]]),ISBLANK(tbl_SeqLib[[#This Row],[Sample Type]])),FALSE, TRUE)</f>
        <v>0</v>
      </c>
      <c r="I88" s="25" t="b">
        <f>IF(AND(ISBLANK(tbl_SeqLib[[#This Row],[Sample ID]]),ISBLANK(tbl_SeqLib[[#This Row],[Sample Type]]),ISBLANK(tbl_SeqLib[[#This Row],[PCR '[DNA'] (ng / µl)]])),FALSE,TRUE)</f>
        <v>0</v>
      </c>
      <c r="J88" s="34" t="str">
        <f>IF(tbl_SeqLib[[#This Row],[Duplicate Barcode]],"DUPLICATE BARCODE",IF(AND(tbl_SeqLib[[#This Row],[Data entered]],NOT(tbl_SeqLib[[#This Row],[Valid Entry]])),"Incomplete Entry",""))</f>
        <v/>
      </c>
    </row>
    <row r="89" spans="1:10" ht="15.75" customHeight="1" thickBot="1" x14ac:dyDescent="0.35">
      <c r="A89" s="35" t="s">
        <v>83</v>
      </c>
      <c r="B89" s="24"/>
      <c r="C89" s="21">
        <v>80</v>
      </c>
      <c r="D89" s="4"/>
      <c r="E89" s="11"/>
      <c r="F89" s="53" t="str">
        <f>CONCATENATE("barcode",TEXT(tbl_SeqLib[[#This Row],[Barcode]],"00"))</f>
        <v>barcode80</v>
      </c>
      <c r="G89" s="36" t="b">
        <f>IF(COUNTIF(tbl_SeqLib[Barcode],tbl_SeqLib[[#This Row],[Barcode]])&gt;1,TRUE,FALSE)</f>
        <v>0</v>
      </c>
      <c r="H89" s="36" t="b">
        <f>IF(OR(ISBLANK(tbl_SeqLib[[#This Row],[Sample ID]]),ISBLANK(tbl_SeqLib[[#This Row],[Barcode]]),ISBLANK(tbl_SeqLib[[#This Row],[Sample Type]])),FALSE, TRUE)</f>
        <v>0</v>
      </c>
      <c r="I89" s="36" t="b">
        <f>IF(AND(ISBLANK(tbl_SeqLib[[#This Row],[Sample ID]]),ISBLANK(tbl_SeqLib[[#This Row],[Sample Type]]),ISBLANK(tbl_SeqLib[[#This Row],[PCR '[DNA'] (ng / µl)]])),FALSE,TRUE)</f>
        <v>0</v>
      </c>
      <c r="J89" s="37" t="str">
        <f>IF(tbl_SeqLib[[#This Row],[Duplicate Barcode]],"DUPLICATE BARCODE",IF(AND(tbl_SeqLib[[#This Row],[Data entered]],NOT(tbl_SeqLib[[#This Row],[Valid Entry]])),"Incomplete Entry",""))</f>
        <v/>
      </c>
    </row>
    <row r="90" spans="1:10" ht="15.75" customHeight="1" x14ac:dyDescent="0.3">
      <c r="A90" s="30" t="s">
        <v>84</v>
      </c>
      <c r="B90" s="22"/>
      <c r="C90" s="19">
        <v>81</v>
      </c>
      <c r="D90" s="3"/>
      <c r="E90" s="9"/>
      <c r="F90" s="51" t="str">
        <f>CONCATENATE("barcode",TEXT(tbl_SeqLib[[#This Row],[Barcode]],"00"))</f>
        <v>barcode81</v>
      </c>
      <c r="G90" s="31" t="b">
        <f>IF(COUNTIF(tbl_SeqLib[Barcode],tbl_SeqLib[[#This Row],[Barcode]])&gt;1,TRUE,FALSE)</f>
        <v>0</v>
      </c>
      <c r="H90" s="31" t="b">
        <f>IF(OR(ISBLANK(tbl_SeqLib[[#This Row],[Sample ID]]),ISBLANK(tbl_SeqLib[[#This Row],[Barcode]]),ISBLANK(tbl_SeqLib[[#This Row],[Sample Type]])),FALSE, TRUE)</f>
        <v>0</v>
      </c>
      <c r="I90" s="31" t="b">
        <f>IF(AND(ISBLANK(tbl_SeqLib[[#This Row],[Sample ID]]),ISBLANK(tbl_SeqLib[[#This Row],[Sample Type]]),ISBLANK(tbl_SeqLib[[#This Row],[PCR '[DNA'] (ng / µl)]])),FALSE,TRUE)</f>
        <v>0</v>
      </c>
      <c r="J90" s="32" t="str">
        <f>IF(tbl_SeqLib[[#This Row],[Duplicate Barcode]],"DUPLICATE BARCODE",IF(AND(tbl_SeqLib[[#This Row],[Data entered]],NOT(tbl_SeqLib[[#This Row],[Valid Entry]])),"Incomplete Entry",""))</f>
        <v/>
      </c>
    </row>
    <row r="91" spans="1:10" ht="15.75" customHeight="1" x14ac:dyDescent="0.3">
      <c r="A91" s="33" t="s">
        <v>85</v>
      </c>
      <c r="B91" s="23"/>
      <c r="C91" s="20">
        <v>82</v>
      </c>
      <c r="D91" s="2"/>
      <c r="E91" s="10"/>
      <c r="F91" s="52" t="str">
        <f>CONCATENATE("barcode",TEXT(tbl_SeqLib[[#This Row],[Barcode]],"00"))</f>
        <v>barcode82</v>
      </c>
      <c r="G91" s="25" t="b">
        <f>IF(COUNTIF(tbl_SeqLib[Barcode],tbl_SeqLib[[#This Row],[Barcode]])&gt;1,TRUE,FALSE)</f>
        <v>0</v>
      </c>
      <c r="H91" s="25" t="b">
        <f>IF(OR(ISBLANK(tbl_SeqLib[[#This Row],[Sample ID]]),ISBLANK(tbl_SeqLib[[#This Row],[Barcode]]),ISBLANK(tbl_SeqLib[[#This Row],[Sample Type]])),FALSE, TRUE)</f>
        <v>0</v>
      </c>
      <c r="I91" s="25" t="b">
        <f>IF(AND(ISBLANK(tbl_SeqLib[[#This Row],[Sample ID]]),ISBLANK(tbl_SeqLib[[#This Row],[Sample Type]]),ISBLANK(tbl_SeqLib[[#This Row],[PCR '[DNA'] (ng / µl)]])),FALSE,TRUE)</f>
        <v>0</v>
      </c>
      <c r="J91" s="34" t="str">
        <f>IF(tbl_SeqLib[[#This Row],[Duplicate Barcode]],"DUPLICATE BARCODE",IF(AND(tbl_SeqLib[[#This Row],[Data entered]],NOT(tbl_SeqLib[[#This Row],[Valid Entry]])),"Incomplete Entry",""))</f>
        <v/>
      </c>
    </row>
    <row r="92" spans="1:10" ht="15.75" customHeight="1" x14ac:dyDescent="0.3">
      <c r="A92" s="33" t="s">
        <v>86</v>
      </c>
      <c r="B92" s="23"/>
      <c r="C92" s="20">
        <v>83</v>
      </c>
      <c r="D92" s="2"/>
      <c r="E92" s="10"/>
      <c r="F92" s="52" t="str">
        <f>CONCATENATE("barcode",TEXT(tbl_SeqLib[[#This Row],[Barcode]],"00"))</f>
        <v>barcode83</v>
      </c>
      <c r="G92" s="25" t="b">
        <f>IF(COUNTIF(tbl_SeqLib[Barcode],tbl_SeqLib[[#This Row],[Barcode]])&gt;1,TRUE,FALSE)</f>
        <v>0</v>
      </c>
      <c r="H92" s="25" t="b">
        <f>IF(OR(ISBLANK(tbl_SeqLib[[#This Row],[Sample ID]]),ISBLANK(tbl_SeqLib[[#This Row],[Barcode]]),ISBLANK(tbl_SeqLib[[#This Row],[Sample Type]])),FALSE, TRUE)</f>
        <v>0</v>
      </c>
      <c r="I92" s="25" t="b">
        <f>IF(AND(ISBLANK(tbl_SeqLib[[#This Row],[Sample ID]]),ISBLANK(tbl_SeqLib[[#This Row],[Sample Type]]),ISBLANK(tbl_SeqLib[[#This Row],[PCR '[DNA'] (ng / µl)]])),FALSE,TRUE)</f>
        <v>0</v>
      </c>
      <c r="J92" s="34" t="str">
        <f>IF(tbl_SeqLib[[#This Row],[Duplicate Barcode]],"DUPLICATE BARCODE",IF(AND(tbl_SeqLib[[#This Row],[Data entered]],NOT(tbl_SeqLib[[#This Row],[Valid Entry]])),"Incomplete Entry",""))</f>
        <v/>
      </c>
    </row>
    <row r="93" spans="1:10" ht="15.75" customHeight="1" x14ac:dyDescent="0.3">
      <c r="A93" s="33" t="s">
        <v>87</v>
      </c>
      <c r="B93" s="23"/>
      <c r="C93" s="20">
        <v>84</v>
      </c>
      <c r="D93" s="2"/>
      <c r="E93" s="10"/>
      <c r="F93" s="52" t="str">
        <f>CONCATENATE("barcode",TEXT(tbl_SeqLib[[#This Row],[Barcode]],"00"))</f>
        <v>barcode84</v>
      </c>
      <c r="G93" s="25" t="b">
        <f>IF(COUNTIF(tbl_SeqLib[Barcode],tbl_SeqLib[[#This Row],[Barcode]])&gt;1,TRUE,FALSE)</f>
        <v>0</v>
      </c>
      <c r="H93" s="25" t="b">
        <f>IF(OR(ISBLANK(tbl_SeqLib[[#This Row],[Sample ID]]),ISBLANK(tbl_SeqLib[[#This Row],[Barcode]]),ISBLANK(tbl_SeqLib[[#This Row],[Sample Type]])),FALSE, TRUE)</f>
        <v>0</v>
      </c>
      <c r="I93" s="25" t="b">
        <f>IF(AND(ISBLANK(tbl_SeqLib[[#This Row],[Sample ID]]),ISBLANK(tbl_SeqLib[[#This Row],[Sample Type]]),ISBLANK(tbl_SeqLib[[#This Row],[PCR '[DNA'] (ng / µl)]])),FALSE,TRUE)</f>
        <v>0</v>
      </c>
      <c r="J93" s="34" t="str">
        <f>IF(tbl_SeqLib[[#This Row],[Duplicate Barcode]],"DUPLICATE BARCODE",IF(AND(tbl_SeqLib[[#This Row],[Data entered]],NOT(tbl_SeqLib[[#This Row],[Valid Entry]])),"Incomplete Entry",""))</f>
        <v/>
      </c>
    </row>
    <row r="94" spans="1:10" ht="15.75" customHeight="1" x14ac:dyDescent="0.3">
      <c r="A94" s="33" t="s">
        <v>88</v>
      </c>
      <c r="B94" s="23"/>
      <c r="C94" s="20">
        <v>85</v>
      </c>
      <c r="D94" s="2"/>
      <c r="E94" s="10"/>
      <c r="F94" s="52" t="str">
        <f>CONCATENATE("barcode",TEXT(tbl_SeqLib[[#This Row],[Barcode]],"00"))</f>
        <v>barcode85</v>
      </c>
      <c r="G94" s="25" t="b">
        <f>IF(COUNTIF(tbl_SeqLib[Barcode],tbl_SeqLib[[#This Row],[Barcode]])&gt;1,TRUE,FALSE)</f>
        <v>0</v>
      </c>
      <c r="H94" s="25" t="b">
        <f>IF(OR(ISBLANK(tbl_SeqLib[[#This Row],[Sample ID]]),ISBLANK(tbl_SeqLib[[#This Row],[Barcode]]),ISBLANK(tbl_SeqLib[[#This Row],[Sample Type]])),FALSE, TRUE)</f>
        <v>0</v>
      </c>
      <c r="I94" s="25" t="b">
        <f>IF(AND(ISBLANK(tbl_SeqLib[[#This Row],[Sample ID]]),ISBLANK(tbl_SeqLib[[#This Row],[Sample Type]]),ISBLANK(tbl_SeqLib[[#This Row],[PCR '[DNA'] (ng / µl)]])),FALSE,TRUE)</f>
        <v>0</v>
      </c>
      <c r="J94" s="34" t="str">
        <f>IF(tbl_SeqLib[[#This Row],[Duplicate Barcode]],"DUPLICATE BARCODE",IF(AND(tbl_SeqLib[[#This Row],[Data entered]],NOT(tbl_SeqLib[[#This Row],[Valid Entry]])),"Incomplete Entry",""))</f>
        <v/>
      </c>
    </row>
    <row r="95" spans="1:10" ht="15.75" customHeight="1" x14ac:dyDescent="0.3">
      <c r="A95" s="33" t="s">
        <v>89</v>
      </c>
      <c r="B95" s="23"/>
      <c r="C95" s="20">
        <v>86</v>
      </c>
      <c r="D95" s="2"/>
      <c r="E95" s="10"/>
      <c r="F95" s="52" t="str">
        <f>CONCATENATE("barcode",TEXT(tbl_SeqLib[[#This Row],[Barcode]],"00"))</f>
        <v>barcode86</v>
      </c>
      <c r="G95" s="25" t="b">
        <f>IF(COUNTIF(tbl_SeqLib[Barcode],tbl_SeqLib[[#This Row],[Barcode]])&gt;1,TRUE,FALSE)</f>
        <v>0</v>
      </c>
      <c r="H95" s="25" t="b">
        <f>IF(OR(ISBLANK(tbl_SeqLib[[#This Row],[Sample ID]]),ISBLANK(tbl_SeqLib[[#This Row],[Barcode]]),ISBLANK(tbl_SeqLib[[#This Row],[Sample Type]])),FALSE, TRUE)</f>
        <v>0</v>
      </c>
      <c r="I95" s="25" t="b">
        <f>IF(AND(ISBLANK(tbl_SeqLib[[#This Row],[Sample ID]]),ISBLANK(tbl_SeqLib[[#This Row],[Sample Type]]),ISBLANK(tbl_SeqLib[[#This Row],[PCR '[DNA'] (ng / µl)]])),FALSE,TRUE)</f>
        <v>0</v>
      </c>
      <c r="J95" s="34" t="str">
        <f>IF(tbl_SeqLib[[#This Row],[Duplicate Barcode]],"DUPLICATE BARCODE",IF(AND(tbl_SeqLib[[#This Row],[Data entered]],NOT(tbl_SeqLib[[#This Row],[Valid Entry]])),"Incomplete Entry",""))</f>
        <v/>
      </c>
    </row>
    <row r="96" spans="1:10" ht="15.75" customHeight="1" x14ac:dyDescent="0.3">
      <c r="A96" s="33" t="s">
        <v>90</v>
      </c>
      <c r="B96" s="23"/>
      <c r="C96" s="20">
        <v>87</v>
      </c>
      <c r="D96" s="2"/>
      <c r="E96" s="10"/>
      <c r="F96" s="52" t="str">
        <f>CONCATENATE("barcode",TEXT(tbl_SeqLib[[#This Row],[Barcode]],"00"))</f>
        <v>barcode87</v>
      </c>
      <c r="G96" s="25" t="b">
        <f>IF(COUNTIF(tbl_SeqLib[Barcode],tbl_SeqLib[[#This Row],[Barcode]])&gt;1,TRUE,FALSE)</f>
        <v>0</v>
      </c>
      <c r="H96" s="25" t="b">
        <f>IF(OR(ISBLANK(tbl_SeqLib[[#This Row],[Sample ID]]),ISBLANK(tbl_SeqLib[[#This Row],[Barcode]]),ISBLANK(tbl_SeqLib[[#This Row],[Sample Type]])),FALSE, TRUE)</f>
        <v>0</v>
      </c>
      <c r="I96" s="25" t="b">
        <f>IF(AND(ISBLANK(tbl_SeqLib[[#This Row],[Sample ID]]),ISBLANK(tbl_SeqLib[[#This Row],[Sample Type]]),ISBLANK(tbl_SeqLib[[#This Row],[PCR '[DNA'] (ng / µl)]])),FALSE,TRUE)</f>
        <v>0</v>
      </c>
      <c r="J96" s="34" t="str">
        <f>IF(tbl_SeqLib[[#This Row],[Duplicate Barcode]],"DUPLICATE BARCODE",IF(AND(tbl_SeqLib[[#This Row],[Data entered]],NOT(tbl_SeqLib[[#This Row],[Valid Entry]])),"Incomplete Entry",""))</f>
        <v/>
      </c>
    </row>
    <row r="97" spans="1:10" ht="15.75" customHeight="1" thickBot="1" x14ac:dyDescent="0.35">
      <c r="A97" s="35" t="s">
        <v>91</v>
      </c>
      <c r="B97" s="24"/>
      <c r="C97" s="21">
        <v>88</v>
      </c>
      <c r="D97" s="4"/>
      <c r="E97" s="11"/>
      <c r="F97" s="53" t="str">
        <f>CONCATENATE("barcode",TEXT(tbl_SeqLib[[#This Row],[Barcode]],"00"))</f>
        <v>barcode88</v>
      </c>
      <c r="G97" s="36" t="b">
        <f>IF(COUNTIF(tbl_SeqLib[Barcode],tbl_SeqLib[[#This Row],[Barcode]])&gt;1,TRUE,FALSE)</f>
        <v>0</v>
      </c>
      <c r="H97" s="36" t="b">
        <f>IF(OR(ISBLANK(tbl_SeqLib[[#This Row],[Sample ID]]),ISBLANK(tbl_SeqLib[[#This Row],[Barcode]]),ISBLANK(tbl_SeqLib[[#This Row],[Sample Type]])),FALSE, TRUE)</f>
        <v>0</v>
      </c>
      <c r="I97" s="36" t="b">
        <f>IF(AND(ISBLANK(tbl_SeqLib[[#This Row],[Sample ID]]),ISBLANK(tbl_SeqLib[[#This Row],[Sample Type]]),ISBLANK(tbl_SeqLib[[#This Row],[PCR '[DNA'] (ng / µl)]])),FALSE,TRUE)</f>
        <v>0</v>
      </c>
      <c r="J97" s="37" t="str">
        <f>IF(tbl_SeqLib[[#This Row],[Duplicate Barcode]],"DUPLICATE BARCODE",IF(AND(tbl_SeqLib[[#This Row],[Data entered]],NOT(tbl_SeqLib[[#This Row],[Valid Entry]])),"Incomplete Entry",""))</f>
        <v/>
      </c>
    </row>
    <row r="98" spans="1:10" ht="15.75" customHeight="1" x14ac:dyDescent="0.3">
      <c r="A98" s="30" t="s">
        <v>92</v>
      </c>
      <c r="B98" s="22"/>
      <c r="C98" s="19">
        <v>89</v>
      </c>
      <c r="D98" s="3"/>
      <c r="E98" s="9"/>
      <c r="F98" s="51" t="str">
        <f>CONCATENATE("barcode",TEXT(tbl_SeqLib[[#This Row],[Barcode]],"00"))</f>
        <v>barcode89</v>
      </c>
      <c r="G98" s="31" t="b">
        <f>IF(COUNTIF(tbl_SeqLib[Barcode],tbl_SeqLib[[#This Row],[Barcode]])&gt;1,TRUE,FALSE)</f>
        <v>0</v>
      </c>
      <c r="H98" s="31" t="b">
        <f>IF(OR(ISBLANK(tbl_SeqLib[[#This Row],[Sample ID]]),ISBLANK(tbl_SeqLib[[#This Row],[Barcode]]),ISBLANK(tbl_SeqLib[[#This Row],[Sample Type]])),FALSE, TRUE)</f>
        <v>0</v>
      </c>
      <c r="I98" s="31" t="b">
        <f>IF(AND(ISBLANK(tbl_SeqLib[[#This Row],[Sample ID]]),ISBLANK(tbl_SeqLib[[#This Row],[Sample Type]]),ISBLANK(tbl_SeqLib[[#This Row],[PCR '[DNA'] (ng / µl)]])),FALSE,TRUE)</f>
        <v>0</v>
      </c>
      <c r="J98" s="32" t="str">
        <f>IF(tbl_SeqLib[[#This Row],[Duplicate Barcode]],"DUPLICATE BARCODE",IF(AND(tbl_SeqLib[[#This Row],[Data entered]],NOT(tbl_SeqLib[[#This Row],[Valid Entry]])),"Incomplete Entry",""))</f>
        <v/>
      </c>
    </row>
    <row r="99" spans="1:10" ht="15.75" customHeight="1" x14ac:dyDescent="0.3">
      <c r="A99" s="33" t="s">
        <v>93</v>
      </c>
      <c r="B99" s="23"/>
      <c r="C99" s="20">
        <v>90</v>
      </c>
      <c r="D99" s="2"/>
      <c r="E99" s="10"/>
      <c r="F99" s="52" t="str">
        <f>CONCATENATE("barcode",TEXT(tbl_SeqLib[[#This Row],[Barcode]],"00"))</f>
        <v>barcode90</v>
      </c>
      <c r="G99" s="25" t="b">
        <f>IF(COUNTIF(tbl_SeqLib[Barcode],tbl_SeqLib[[#This Row],[Barcode]])&gt;1,TRUE,FALSE)</f>
        <v>0</v>
      </c>
      <c r="H99" s="25" t="b">
        <f>IF(OR(ISBLANK(tbl_SeqLib[[#This Row],[Sample ID]]),ISBLANK(tbl_SeqLib[[#This Row],[Barcode]]),ISBLANK(tbl_SeqLib[[#This Row],[Sample Type]])),FALSE, TRUE)</f>
        <v>0</v>
      </c>
      <c r="I99" s="25" t="b">
        <f>IF(AND(ISBLANK(tbl_SeqLib[[#This Row],[Sample ID]]),ISBLANK(tbl_SeqLib[[#This Row],[Sample Type]]),ISBLANK(tbl_SeqLib[[#This Row],[PCR '[DNA'] (ng / µl)]])),FALSE,TRUE)</f>
        <v>0</v>
      </c>
      <c r="J99" s="34" t="str">
        <f>IF(tbl_SeqLib[[#This Row],[Duplicate Barcode]],"DUPLICATE BARCODE",IF(AND(tbl_SeqLib[[#This Row],[Data entered]],NOT(tbl_SeqLib[[#This Row],[Valid Entry]])),"Incomplete Entry",""))</f>
        <v/>
      </c>
    </row>
    <row r="100" spans="1:10" ht="15.75" customHeight="1" x14ac:dyDescent="0.3">
      <c r="A100" s="33" t="s">
        <v>94</v>
      </c>
      <c r="B100" s="23"/>
      <c r="C100" s="20">
        <v>91</v>
      </c>
      <c r="D100" s="2"/>
      <c r="E100" s="10"/>
      <c r="F100" s="52" t="str">
        <f>CONCATENATE("barcode",TEXT(tbl_SeqLib[[#This Row],[Barcode]],"00"))</f>
        <v>barcode91</v>
      </c>
      <c r="G100" s="25" t="b">
        <f>IF(COUNTIF(tbl_SeqLib[Barcode],tbl_SeqLib[[#This Row],[Barcode]])&gt;1,TRUE,FALSE)</f>
        <v>0</v>
      </c>
      <c r="H100" s="25" t="b">
        <f>IF(OR(ISBLANK(tbl_SeqLib[[#This Row],[Sample ID]]),ISBLANK(tbl_SeqLib[[#This Row],[Barcode]]),ISBLANK(tbl_SeqLib[[#This Row],[Sample Type]])),FALSE, TRUE)</f>
        <v>0</v>
      </c>
      <c r="I100" s="25" t="b">
        <f>IF(AND(ISBLANK(tbl_SeqLib[[#This Row],[Sample ID]]),ISBLANK(tbl_SeqLib[[#This Row],[Sample Type]]),ISBLANK(tbl_SeqLib[[#This Row],[PCR '[DNA'] (ng / µl)]])),FALSE,TRUE)</f>
        <v>0</v>
      </c>
      <c r="J100" s="34" t="str">
        <f>IF(tbl_SeqLib[[#This Row],[Duplicate Barcode]],"DUPLICATE BARCODE",IF(AND(tbl_SeqLib[[#This Row],[Data entered]],NOT(tbl_SeqLib[[#This Row],[Valid Entry]])),"Incomplete Entry",""))</f>
        <v/>
      </c>
    </row>
    <row r="101" spans="1:10" ht="15.75" customHeight="1" x14ac:dyDescent="0.3">
      <c r="A101" s="33" t="s">
        <v>95</v>
      </c>
      <c r="B101" s="23"/>
      <c r="C101" s="20">
        <v>92</v>
      </c>
      <c r="D101" s="2"/>
      <c r="E101" s="10"/>
      <c r="F101" s="52" t="str">
        <f>CONCATENATE("barcode",TEXT(tbl_SeqLib[[#This Row],[Barcode]],"00"))</f>
        <v>barcode92</v>
      </c>
      <c r="G101" s="25" t="b">
        <f>IF(COUNTIF(tbl_SeqLib[Barcode],tbl_SeqLib[[#This Row],[Barcode]])&gt;1,TRUE,FALSE)</f>
        <v>0</v>
      </c>
      <c r="H101" s="25" t="b">
        <f>IF(OR(ISBLANK(tbl_SeqLib[[#This Row],[Sample ID]]),ISBLANK(tbl_SeqLib[[#This Row],[Barcode]]),ISBLANK(tbl_SeqLib[[#This Row],[Sample Type]])),FALSE, TRUE)</f>
        <v>0</v>
      </c>
      <c r="I101" s="25" t="b">
        <f>IF(AND(ISBLANK(tbl_SeqLib[[#This Row],[Sample ID]]),ISBLANK(tbl_SeqLib[[#This Row],[Sample Type]]),ISBLANK(tbl_SeqLib[[#This Row],[PCR '[DNA'] (ng / µl)]])),FALSE,TRUE)</f>
        <v>0</v>
      </c>
      <c r="J101" s="34" t="str">
        <f>IF(tbl_SeqLib[[#This Row],[Duplicate Barcode]],"DUPLICATE BARCODE",IF(AND(tbl_SeqLib[[#This Row],[Data entered]],NOT(tbl_SeqLib[[#This Row],[Valid Entry]])),"Incomplete Entry",""))</f>
        <v/>
      </c>
    </row>
    <row r="102" spans="1:10" ht="15.75" customHeight="1" x14ac:dyDescent="0.3">
      <c r="A102" s="33" t="s">
        <v>96</v>
      </c>
      <c r="B102" s="23"/>
      <c r="C102" s="20">
        <v>93</v>
      </c>
      <c r="D102" s="2"/>
      <c r="E102" s="10"/>
      <c r="F102" s="52" t="str">
        <f>CONCATENATE("barcode",TEXT(tbl_SeqLib[[#This Row],[Barcode]],"00"))</f>
        <v>barcode93</v>
      </c>
      <c r="G102" s="25" t="b">
        <f>IF(COUNTIF(tbl_SeqLib[Barcode],tbl_SeqLib[[#This Row],[Barcode]])&gt;1,TRUE,FALSE)</f>
        <v>0</v>
      </c>
      <c r="H102" s="25" t="b">
        <f>IF(OR(ISBLANK(tbl_SeqLib[[#This Row],[Sample ID]]),ISBLANK(tbl_SeqLib[[#This Row],[Barcode]]),ISBLANK(tbl_SeqLib[[#This Row],[Sample Type]])),FALSE, TRUE)</f>
        <v>0</v>
      </c>
      <c r="I102" s="25" t="b">
        <f>IF(AND(ISBLANK(tbl_SeqLib[[#This Row],[Sample ID]]),ISBLANK(tbl_SeqLib[[#This Row],[Sample Type]]),ISBLANK(tbl_SeqLib[[#This Row],[PCR '[DNA'] (ng / µl)]])),FALSE,TRUE)</f>
        <v>0</v>
      </c>
      <c r="J102" s="34" t="str">
        <f>IF(tbl_SeqLib[[#This Row],[Duplicate Barcode]],"DUPLICATE BARCODE",IF(AND(tbl_SeqLib[[#This Row],[Data entered]],NOT(tbl_SeqLib[[#This Row],[Valid Entry]])),"Incomplete Entry",""))</f>
        <v/>
      </c>
    </row>
    <row r="103" spans="1:10" ht="15.75" customHeight="1" x14ac:dyDescent="0.3">
      <c r="A103" s="33" t="s">
        <v>97</v>
      </c>
      <c r="B103" s="23"/>
      <c r="C103" s="20">
        <v>94</v>
      </c>
      <c r="D103" s="2"/>
      <c r="E103" s="10"/>
      <c r="F103" s="52" t="str">
        <f>CONCATENATE("barcode",TEXT(tbl_SeqLib[[#This Row],[Barcode]],"00"))</f>
        <v>barcode94</v>
      </c>
      <c r="G103" s="25" t="b">
        <f>IF(COUNTIF(tbl_SeqLib[Barcode],tbl_SeqLib[[#This Row],[Barcode]])&gt;1,TRUE,FALSE)</f>
        <v>0</v>
      </c>
      <c r="H103" s="25" t="b">
        <f>IF(OR(ISBLANK(tbl_SeqLib[[#This Row],[Sample ID]]),ISBLANK(tbl_SeqLib[[#This Row],[Barcode]]),ISBLANK(tbl_SeqLib[[#This Row],[Sample Type]])),FALSE, TRUE)</f>
        <v>0</v>
      </c>
      <c r="I103" s="25" t="b">
        <f>IF(AND(ISBLANK(tbl_SeqLib[[#This Row],[Sample ID]]),ISBLANK(tbl_SeqLib[[#This Row],[Sample Type]]),ISBLANK(tbl_SeqLib[[#This Row],[PCR '[DNA'] (ng / µl)]])),FALSE,TRUE)</f>
        <v>0</v>
      </c>
      <c r="J103" s="34" t="str">
        <f>IF(tbl_SeqLib[[#This Row],[Duplicate Barcode]],"DUPLICATE BARCODE",IF(AND(tbl_SeqLib[[#This Row],[Data entered]],NOT(tbl_SeqLib[[#This Row],[Valid Entry]])),"Incomplete Entry",""))</f>
        <v/>
      </c>
    </row>
    <row r="104" spans="1:10" ht="15.75" customHeight="1" x14ac:dyDescent="0.3">
      <c r="A104" s="33" t="s">
        <v>98</v>
      </c>
      <c r="B104" s="23"/>
      <c r="C104" s="20">
        <v>95</v>
      </c>
      <c r="D104" s="2"/>
      <c r="E104" s="10"/>
      <c r="F104" s="52" t="str">
        <f>CONCATENATE("barcode",TEXT(tbl_SeqLib[[#This Row],[Barcode]],"00"))</f>
        <v>barcode95</v>
      </c>
      <c r="G104" s="25" t="b">
        <f>IF(COUNTIF(tbl_SeqLib[Barcode],tbl_SeqLib[[#This Row],[Barcode]])&gt;1,TRUE,FALSE)</f>
        <v>0</v>
      </c>
      <c r="H104" s="25" t="b">
        <f>IF(OR(ISBLANK(tbl_SeqLib[[#This Row],[Sample ID]]),ISBLANK(tbl_SeqLib[[#This Row],[Barcode]]),ISBLANK(tbl_SeqLib[[#This Row],[Sample Type]])),FALSE, TRUE)</f>
        <v>0</v>
      </c>
      <c r="I104" s="25" t="b">
        <f>IF(AND(ISBLANK(tbl_SeqLib[[#This Row],[Sample ID]]),ISBLANK(tbl_SeqLib[[#This Row],[Sample Type]]),ISBLANK(tbl_SeqLib[[#This Row],[PCR '[DNA'] (ng / µl)]])),FALSE,TRUE)</f>
        <v>0</v>
      </c>
      <c r="J104" s="34" t="str">
        <f>IF(tbl_SeqLib[[#This Row],[Duplicate Barcode]],"DUPLICATE BARCODE",IF(AND(tbl_SeqLib[[#This Row],[Data entered]],NOT(tbl_SeqLib[[#This Row],[Valid Entry]])),"Incomplete Entry",""))</f>
        <v/>
      </c>
    </row>
    <row r="105" spans="1:10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53" t="str">
        <f>CONCATENATE("barcode",TEXT(tbl_SeqLib[[#This Row],[Barcode]],"00"))</f>
        <v>barcode96</v>
      </c>
      <c r="G105" s="36" t="b">
        <f>IF(COUNTIF(tbl_SeqLib[Barcode],tbl_SeqLib[[#This Row],[Barcode]])&gt;1,TRUE,FALSE)</f>
        <v>0</v>
      </c>
      <c r="H105" s="36" t="b">
        <f>IF(OR(ISBLANK(tbl_SeqLib[[#This Row],[Sample ID]]),ISBLANK(tbl_SeqLib[[#This Row],[Barcode]]),ISBLANK(tbl_SeqLib[[#This Row],[Sample Type]])),FALSE, TRUE)</f>
        <v>0</v>
      </c>
      <c r="I105" s="36" t="b">
        <f>IF(AND(ISBLANK(tbl_SeqLib[[#This Row],[Sample ID]]),ISBLANK(tbl_SeqLib[[#This Row],[Sample Type]]),ISBLANK(tbl_SeqLib[[#This Row],[PCR '[DNA'] (ng / µl)]])),FALSE,TRUE)</f>
        <v>0</v>
      </c>
      <c r="J105" s="37" t="str">
        <f>IF(tbl_SeqLib[[#This Row],[Duplicate Barcode]],"DUPLICATE BARCODE",IF(AND(tbl_SeqLib[[#This Row],[Data entered]],NOT(tbl_SeqLib[[#This Row],[Valid Entry]])),"Incomplete Entry",""))</f>
        <v/>
      </c>
    </row>
    <row r="106" spans="1:10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spans="1:10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spans="1:10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spans="1:10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spans="1:10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spans="1:10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spans="1:10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spans="1:10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spans="1:10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spans="1:10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</row>
  </sheetData>
  <sheetProtection sheet="1" objects="1" scenarios="1"/>
  <mergeCells count="13">
    <mergeCell ref="A6:B6"/>
    <mergeCell ref="A7:B7"/>
    <mergeCell ref="A5:B5"/>
    <mergeCell ref="C5:D5"/>
    <mergeCell ref="C6:D6"/>
    <mergeCell ref="C7:D7"/>
    <mergeCell ref="A3:B3"/>
    <mergeCell ref="A4:B4"/>
    <mergeCell ref="A1:J1"/>
    <mergeCell ref="A2:B2"/>
    <mergeCell ref="C2:D2"/>
    <mergeCell ref="C3:D3"/>
    <mergeCell ref="C4:D4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J10:J105">
    <cfRule type="expression" dxfId="2" priority="1">
      <formula>NOT(COUNTIF(J10,""))</formula>
    </cfRule>
  </conditionalFormatting>
  <conditionalFormatting sqref="E10:E105">
    <cfRule type="cellIs" dxfId="1" priority="9" operator="between">
      <formula>0</formula>
      <formula>Post_PCR_DNA_threshold_ngul</formula>
    </cfRule>
    <cfRule type="cellIs" dxfId="0" priority="10" operator="greaterThanOrEqual">
      <formula>Post_PCR_DNA_threshold_ngul</formula>
    </cfRule>
  </conditionalFormatting>
  <dataValidations count="11">
    <dataValidation allowBlank="1" showInputMessage="1" showErrorMessage="1" errorTitle="Incorrect Format" error="Exp Number should be three digits long" sqref="J8 E7:I7" xr:uid="{7F700A24-FACB-40FF-A73D-3494166CE29A}"/>
    <dataValidation allowBlank="1" showInputMessage="1" showErrorMessage="1" errorTitle="Experimental Aim" error="The aim must be 5-20 characters long as it is used to name folders downstream so can not be too verbose." sqref="J8 E7:I7" xr:uid="{9C75F18E-0FA2-45C4-8859-DF7209A58F83}"/>
    <dataValidation type="decimal" allowBlank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D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:D5" xr:uid="{49447D3F-5D0C-48FC-AED3-44147C220519}">
      <formula1>0</formula1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G10:I105 J10:J105" xr:uid="{CA156D17-E9AE-4308-90F1-0ED090E64F46}"/>
    <dataValidation type="whole" allowBlank="1" showErrorMessage="1" errorTitle="Unknown Barcode" error="Barcode must be within the range of 1 to 96" sqref="C10:C105" xr:uid="{439A98FD-8F9E-494D-B78A-76BF43667ED4}">
      <formula1>1</formula1>
      <formula2>96</formula2>
    </dataValidation>
    <dataValidation allowBlank="1" errorTitle="Not a Number" error="Please enter a number (decimal or whole) for the post-PCR DNA concentration" sqref="F10:F105" xr:uid="{84BF70EB-6C0E-48AF-9283-79E32492A35D}"/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2"/>
  <sheetViews>
    <sheetView zoomScaleNormal="100" workbookViewId="0">
      <selection activeCell="C3" sqref="C3"/>
    </sheetView>
  </sheetViews>
  <sheetFormatPr defaultColWidth="8.59765625" defaultRowHeight="15.6" x14ac:dyDescent="0.3"/>
  <cols>
    <col min="1" max="1" width="9.5" bestFit="1" customWidth="1"/>
    <col min="2" max="2" width="11.59765625" bestFit="1" customWidth="1"/>
    <col min="3" max="3" width="13.796875" customWidth="1"/>
    <col min="4" max="4" width="22.09765625" bestFit="1" customWidth="1"/>
  </cols>
  <sheetData>
    <row r="1" spans="1:4" x14ac:dyDescent="0.3">
      <c r="A1" s="47" t="s">
        <v>100</v>
      </c>
      <c r="B1" s="48" t="s">
        <v>103</v>
      </c>
      <c r="C1" s="48" t="s">
        <v>101</v>
      </c>
      <c r="D1" s="49" t="s">
        <v>109</v>
      </c>
    </row>
    <row r="2" spans="1:4" x14ac:dyDescent="0.3">
      <c r="A2" s="50" t="e" cm="1" vm="1">
        <f t="array" ref="A2">_xlfn._xlws.FILTER(tbl_SeqLib[Sample ID], tbl_SeqLib[Valid Entry]=TRUE)</f>
        <v>#VALUE!</v>
      </c>
      <c r="B2" s="50" t="e" cm="1" vm="1">
        <f t="array" ref="B2">_xlfn._xlws.FILTER(tbl_SeqLib[Sample Type], tbl_SeqLib[Valid Entry]=TRUE)</f>
        <v>#VALUE!</v>
      </c>
      <c r="C2" s="50" t="e" cm="1" vm="1">
        <f t="array" ref="C2">_xlfn._xlws.FILTER(tbl_SeqLib[Formatted Barcode], tbl_SeqLib[Valid Entry]=TRUE)</f>
        <v>#VALUE!</v>
      </c>
      <c r="D2" s="50" t="e" cm="1" vm="1">
        <f t="array" ref="D2">_xlfn._xlws.FILTER(tbl_SeqLib[PCR '[DNA'] (ng / µl)], tbl_SeqLib[Valid Entry]=TRUE)</f>
        <v>#VALUE!</v>
      </c>
    </row>
  </sheetData>
  <sheetProtection algorithmName="SHA-512" hashValue="hJ3pS51PZkAirYatMlaDK87WwHnSy4pBFgXi44U8+fZPszSeNLiSnTUtFm0K56HAjnuYmcOK3dOo750pslDk1A==" saltValue="BeblaZcNo1JW9idaiK6HQQ==" spinCount="100000" sheet="1" selectLockedCells="1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111</v>
      </c>
    </row>
    <row r="6" spans="1:2" x14ac:dyDescent="0.3">
      <c r="A6" t="s">
        <v>112</v>
      </c>
    </row>
    <row r="7" spans="1:2" x14ac:dyDescent="0.3">
      <c r="A7" t="s">
        <v>113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2025-12-19T11:16:43Z</dcterms:modified>
  <dc:language>en-GB</dc:language>
</cp:coreProperties>
</file>