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E9AE93DA-A7C3-4D03-B2EC-44744C34098F}" xr6:coauthVersionLast="47" xr6:coauthVersionMax="47" xr10:uidLastSave="{00000000-0000-0000-0000-000000000000}"/>
  <bookViews>
    <workbookView xWindow="-108" yWindow="-108" windowWidth="46284" windowHeight="23244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I42" i="2"/>
  <c r="I58" i="2"/>
  <c r="I74" i="2"/>
  <c r="I90" i="2"/>
  <c r="D3" i="6"/>
  <c r="A5" i="6"/>
  <c r="B5" i="6"/>
  <c r="C5" i="6"/>
  <c r="D5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A52" i="6"/>
  <c r="B52" i="6"/>
  <c r="C52" i="6"/>
  <c r="D52" i="6"/>
  <c r="A53" i="6"/>
  <c r="B53" i="6"/>
  <c r="C53" i="6"/>
  <c r="D53" i="6"/>
  <c r="A54" i="6"/>
  <c r="B54" i="6"/>
  <c r="C54" i="6"/>
  <c r="D54" i="6"/>
  <c r="A55" i="6"/>
  <c r="B55" i="6"/>
  <c r="C55" i="6"/>
  <c r="D55" i="6"/>
  <c r="A56" i="6"/>
  <c r="B56" i="6"/>
  <c r="C56" i="6"/>
  <c r="D56" i="6"/>
  <c r="A57" i="6"/>
  <c r="B57" i="6"/>
  <c r="C57" i="6"/>
  <c r="D57" i="6"/>
  <c r="A58" i="6"/>
  <c r="B58" i="6"/>
  <c r="C58" i="6"/>
  <c r="D58" i="6"/>
  <c r="A59" i="6"/>
  <c r="B59" i="6"/>
  <c r="C59" i="6"/>
  <c r="D59" i="6"/>
  <c r="A60" i="6"/>
  <c r="B60" i="6"/>
  <c r="C60" i="6"/>
  <c r="D60" i="6"/>
  <c r="A61" i="6"/>
  <c r="B61" i="6"/>
  <c r="C61" i="6"/>
  <c r="D61" i="6"/>
  <c r="A62" i="6"/>
  <c r="B62" i="6"/>
  <c r="C62" i="6"/>
  <c r="D62" i="6"/>
  <c r="A63" i="6"/>
  <c r="B63" i="6"/>
  <c r="C63" i="6"/>
  <c r="D63" i="6"/>
  <c r="A64" i="6"/>
  <c r="B64" i="6"/>
  <c r="C64" i="6"/>
  <c r="D64" i="6"/>
  <c r="A65" i="6"/>
  <c r="B65" i="6"/>
  <c r="C65" i="6"/>
  <c r="D65" i="6"/>
  <c r="A66" i="6"/>
  <c r="B66" i="6"/>
  <c r="C66" i="6"/>
  <c r="D66" i="6"/>
  <c r="A67" i="6"/>
  <c r="B67" i="6"/>
  <c r="C67" i="6"/>
  <c r="D67" i="6"/>
  <c r="A68" i="6"/>
  <c r="B68" i="6"/>
  <c r="C68" i="6"/>
  <c r="D68" i="6"/>
  <c r="A69" i="6"/>
  <c r="B69" i="6"/>
  <c r="C69" i="6"/>
  <c r="D69" i="6"/>
  <c r="A70" i="6"/>
  <c r="B70" i="6"/>
  <c r="C70" i="6"/>
  <c r="D70" i="6"/>
  <c r="A71" i="6"/>
  <c r="B71" i="6"/>
  <c r="C71" i="6"/>
  <c r="D71" i="6"/>
  <c r="A72" i="6"/>
  <c r="B72" i="6"/>
  <c r="C72" i="6"/>
  <c r="D72" i="6"/>
  <c r="A73" i="6"/>
  <c r="B73" i="6"/>
  <c r="C73" i="6"/>
  <c r="D73" i="6"/>
  <c r="A74" i="6"/>
  <c r="B74" i="6"/>
  <c r="C74" i="6"/>
  <c r="D74" i="6"/>
  <c r="A75" i="6"/>
  <c r="B75" i="6"/>
  <c r="C75" i="6"/>
  <c r="D75" i="6"/>
  <c r="A76" i="6"/>
  <c r="B76" i="6"/>
  <c r="C76" i="6"/>
  <c r="D76" i="6"/>
  <c r="A77" i="6"/>
  <c r="B77" i="6"/>
  <c r="C77" i="6"/>
  <c r="D77" i="6"/>
  <c r="A78" i="6"/>
  <c r="B78" i="6"/>
  <c r="C78" i="6"/>
  <c r="D78" i="6"/>
  <c r="A79" i="6"/>
  <c r="B79" i="6"/>
  <c r="C79" i="6"/>
  <c r="D79" i="6"/>
  <c r="A80" i="6"/>
  <c r="B80" i="6"/>
  <c r="C80" i="6"/>
  <c r="D80" i="6"/>
  <c r="A81" i="6"/>
  <c r="B81" i="6"/>
  <c r="C81" i="6"/>
  <c r="D81" i="6"/>
  <c r="A82" i="6"/>
  <c r="B82" i="6"/>
  <c r="C82" i="6"/>
  <c r="D82" i="6"/>
  <c r="A83" i="6"/>
  <c r="B83" i="6"/>
  <c r="C83" i="6"/>
  <c r="D83" i="6"/>
  <c r="A84" i="6"/>
  <c r="B84" i="6"/>
  <c r="C84" i="6"/>
  <c r="D84" i="6"/>
  <c r="A85" i="6"/>
  <c r="B85" i="6"/>
  <c r="C85" i="6"/>
  <c r="D85" i="6"/>
  <c r="A86" i="6"/>
  <c r="B86" i="6"/>
  <c r="C86" i="6"/>
  <c r="D86" i="6"/>
  <c r="A87" i="6"/>
  <c r="B87" i="6"/>
  <c r="C87" i="6"/>
  <c r="D87" i="6"/>
  <c r="A88" i="6"/>
  <c r="B88" i="6"/>
  <c r="C88" i="6"/>
  <c r="D88" i="6"/>
  <c r="A89" i="6"/>
  <c r="B89" i="6"/>
  <c r="C89" i="6"/>
  <c r="D89" i="6"/>
  <c r="A90" i="6"/>
  <c r="B90" i="6"/>
  <c r="C90" i="6"/>
  <c r="D90" i="6"/>
  <c r="A91" i="6"/>
  <c r="B91" i="6"/>
  <c r="C91" i="6"/>
  <c r="D91" i="6"/>
  <c r="A92" i="6"/>
  <c r="B92" i="6"/>
  <c r="C92" i="6"/>
  <c r="D92" i="6"/>
  <c r="A93" i="6"/>
  <c r="B93" i="6"/>
  <c r="C93" i="6"/>
  <c r="D93" i="6"/>
  <c r="A94" i="6"/>
  <c r="B94" i="6"/>
  <c r="C94" i="6"/>
  <c r="D94" i="6"/>
  <c r="A95" i="6"/>
  <c r="B95" i="6"/>
  <c r="C95" i="6"/>
  <c r="D95" i="6"/>
  <c r="A96" i="6"/>
  <c r="B96" i="6"/>
  <c r="C96" i="6"/>
  <c r="D96" i="6"/>
  <c r="A97" i="6"/>
  <c r="B97" i="6"/>
  <c r="C97" i="6"/>
  <c r="D97" i="6"/>
  <c r="F10" i="2"/>
  <c r="F11" i="2"/>
  <c r="F12" i="2"/>
  <c r="F13" i="2"/>
  <c r="I13" i="2" s="1"/>
  <c r="F14" i="2"/>
  <c r="I14" i="2" s="1"/>
  <c r="F15" i="2"/>
  <c r="I15" i="2" s="1"/>
  <c r="F16" i="2"/>
  <c r="I16" i="2" s="1"/>
  <c r="F17" i="2"/>
  <c r="I17" i="2" s="1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D4" i="6" s="1"/>
  <c r="G13" i="2"/>
  <c r="G14" i="2"/>
  <c r="D6" i="6" s="1"/>
  <c r="G15" i="2"/>
  <c r="A7" i="6" s="1"/>
  <c r="G16" i="2"/>
  <c r="G17" i="2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I10" i="2" s="1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I12" i="2" l="1"/>
  <c r="C4" i="6"/>
  <c r="B4" i="6"/>
  <c r="A4" i="6"/>
  <c r="I11" i="2"/>
  <c r="D7" i="6"/>
  <c r="C6" i="6"/>
  <c r="B6" i="6"/>
  <c r="A6" i="6"/>
  <c r="C2" i="6"/>
  <c r="A2" i="6"/>
  <c r="C3" i="6"/>
  <c r="D2" i="6"/>
  <c r="B3" i="6"/>
  <c r="C14" i="6"/>
  <c r="B14" i="6"/>
  <c r="A14" i="6"/>
  <c r="C7" i="6"/>
  <c r="B7" i="6"/>
  <c r="D13" i="6"/>
  <c r="C13" i="6"/>
  <c r="B13" i="6"/>
</calcChain>
</file>

<file path=xl/sharedStrings.xml><?xml version="1.0" encoding="utf-8"?>
<sst xmlns="http://schemas.openxmlformats.org/spreadsheetml/2006/main" count="138" uniqueCount="137">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</sst>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 wrapText="1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8">
      <calculatedColumnFormula>IF(Library!G10,Library!D10,"")</calculatedColumnFormula>
    </tableColumn>
    <tableColumn id="7" xr3:uid="{00000000-0010-0000-0200-000007000000}" name="barcode" dataDxfId="7">
      <calculatedColumnFormula>IF(Library!G10,CONCATENATE("barcode",TEXT(Library!C10,"00")),"")</calculatedColumnFormula>
    </tableColumn>
    <tableColumn id="2" xr3:uid="{1FDA51E1-A0B8-4EA2-9C5A-4746ACED2260}" name="post_pcr_dna_conc_ngul" dataDxfId="6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zoomScaleNormal="100" workbookViewId="0">
      <selection activeCell="C2" sqref="C2:D2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39" t="s">
        <v>107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8" t="s">
        <v>126</v>
      </c>
      <c r="B2" s="38"/>
      <c r="C2" s="40"/>
      <c r="D2" s="40"/>
      <c r="E2" s="5" t="s">
        <v>0</v>
      </c>
      <c r="F2" s="5"/>
      <c r="G2" s="5"/>
      <c r="H2" s="5"/>
    </row>
    <row r="3" spans="1:9" x14ac:dyDescent="0.3">
      <c r="A3" s="38" t="s">
        <v>104</v>
      </c>
      <c r="B3" s="38"/>
      <c r="C3" s="41"/>
      <c r="D3" s="41"/>
      <c r="E3" t="s">
        <v>127</v>
      </c>
    </row>
    <row r="4" spans="1:9" x14ac:dyDescent="0.3">
      <c r="A4" s="38" t="s">
        <v>106</v>
      </c>
      <c r="B4" s="38"/>
      <c r="C4" s="41"/>
      <c r="D4" s="41"/>
      <c r="E4" t="s">
        <v>128</v>
      </c>
    </row>
    <row r="5" spans="1:9" x14ac:dyDescent="0.3">
      <c r="A5" s="38" t="s">
        <v>131</v>
      </c>
      <c r="B5" s="38"/>
      <c r="C5" s="44"/>
      <c r="D5" s="44"/>
      <c r="E5" s="6" t="s">
        <v>129</v>
      </c>
      <c r="F5" s="6"/>
      <c r="G5" s="6"/>
      <c r="H5" s="6"/>
    </row>
    <row r="6" spans="1:9" x14ac:dyDescent="0.3">
      <c r="A6" s="42" t="s">
        <v>108</v>
      </c>
      <c r="B6" s="42"/>
      <c r="C6" s="45"/>
      <c r="D6" s="45"/>
      <c r="E6" s="5" t="s">
        <v>125</v>
      </c>
      <c r="F6" s="5"/>
      <c r="G6" s="5"/>
      <c r="H6" s="5"/>
    </row>
    <row r="7" spans="1:9" x14ac:dyDescent="0.3">
      <c r="A7" s="43" t="s">
        <v>1</v>
      </c>
      <c r="B7" s="43"/>
      <c r="C7" s="46" t="str">
        <f>IF(OR(ISBLANK(C2),ISBLANK(C3),ISBLANK(C4), ISBLANK(C5), ISBLANK(C6)),"",CONCATENATE(C2,"_",C3,TEXT(C5,"000"),"_",C4,"_Batch",C6))</f>
        <v/>
      </c>
      <c r="D7" s="46"/>
      <c r="E7" s="5" t="s">
        <v>136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133</v>
      </c>
      <c r="G9" s="28" t="s">
        <v>134</v>
      </c>
      <c r="H9" s="28" t="s">
        <v>135</v>
      </c>
      <c r="I9" s="29" t="s">
        <v>132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mergeCells count="13">
    <mergeCell ref="A6:B6"/>
    <mergeCell ref="A7:B7"/>
    <mergeCell ref="A5:B5"/>
    <mergeCell ref="C5:D5"/>
    <mergeCell ref="C6:D6"/>
    <mergeCell ref="C7:D7"/>
    <mergeCell ref="A3:B3"/>
    <mergeCell ref="A4:B4"/>
    <mergeCell ref="A1:I1"/>
    <mergeCell ref="A2:B2"/>
    <mergeCell ref="C2:D2"/>
    <mergeCell ref="C3:D3"/>
    <mergeCell ref="C4:D4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E10:E105">
    <cfRule type="cellIs" dxfId="2" priority="9" operator="between">
      <formula>0</formula>
      <formula>Post_PCR_DNA_threshold_ngul</formula>
    </cfRule>
    <cfRule type="cellIs" dxfId="1" priority="10" operator="greaterThanOrEqual">
      <formula>Post_PCR_DNA_threshold_ngul</formula>
    </cfRule>
  </conditionalFormatting>
  <conditionalFormatting sqref="I10:I105">
    <cfRule type="expression" dxfId="0" priority="1">
      <formula>NOT(COUNTIF(I10,""))</formula>
    </cfRule>
  </conditionalFormatting>
  <dataValidations count="11">
    <dataValidation errorStyle="information" operator="greaterThanOrEqual" allowBlank="1" showErrorMessage="1" error="The sample ID appears to be too short." prompt="Enter the Extraction ID" sqref="B10:B105" xr:uid="{00000000-0002-0000-0100-000000000000}"/>
    <dataValidation allowBlank="1" showInputMessage="1" showErrorMessage="1" errorTitle="Incorrect Format" error="Exp Number should be three digits long" sqref="C6 E7:H7 I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E7:H7 I8" xr:uid="{9C75F18E-0FA2-45C4-8859-DF7209A58F83}"/>
    <dataValidation type="decimal" allowBlank="1" showInputMessage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" xr:uid="{49447D3F-5D0C-48FC-AED3-44147C220519}">
      <formula1>1</formula1>
    </dataValidation>
    <dataValidation type="whole" allowBlank="1" showInputMessage="1" showErrorMessage="1" errorTitle="Unknown Barcode" error="Barcode must be within the range of 1 to 96" sqref="C10:C105" xr:uid="{75260D73-B8AD-4061-93E2-00233DEB0C03}">
      <formula1>1</formula1>
      <formula2>96</formula2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2" sqref="D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IF(Library!G10,Library!D10,"")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IF(Library!G11,Library!D11,"")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IF(Library!G12,Library!D12,"")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IF(Library!G13,Library!D13,"")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IF(Library!G14,Library!D14,"")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IF(Library!G15,Library!D15,"")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IF(Library!G16,Library!D16,"")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IF(Library!G17,Library!D17,"")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IF(Library!G18,Library!D18,"")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IF(Library!G19,Library!D19,"")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IF(Library!G20,Library!D20,"")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IF(Library!G21,Library!D21,"")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IF(Library!G22,Library!D22,"")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IF(Library!G23,Library!D23,"")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IF(Library!G24,Library!D24,"")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IF(Library!G25,Library!D25,"")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IF(Library!G26,Library!D26,"")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IF(Library!G27,Library!D27,"")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IF(Library!G28,Library!D28,"")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IF(Library!G29,Library!D29,"")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IF(Library!G30,Library!D30,"")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IF(Library!G31,Library!D31,"")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IF(Library!G32,Library!D32,"")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IF(Library!G33,Library!D33,"")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IF(Library!G34,Library!D34,"")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IF(Library!G35,Library!D35,"")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IF(Library!G36,Library!D36,"")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IF(Library!G37,Library!D37,"")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IF(Library!G38,Library!D38,"")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IF(Library!G39,Library!D39,"")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IF(Library!G40,Library!D40,"")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IF(Library!G41,Library!D41,"")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IF(Library!G42,Library!D42,"")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IF(Library!G43,Library!D43,"")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IF(Library!G44,Library!D44,"")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IF(Library!G45,Library!D45,"")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IF(Library!G46,Library!D46,"")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IF(Library!G47,Library!D47,"")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IF(Library!G48,Library!D48,"")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IF(Library!G49,Library!D49,"")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IF(Library!G50,Library!D50,"")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IF(Library!G51,Library!D51,"")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IF(Library!G52,Library!D52,"")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IF(Library!G53,Library!D53,"")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IF(Library!G54,Library!D54,"")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IF(Library!G55,Library!D55,"")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IF(Library!G56,Library!D56,"")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IF(Library!G57,Library!D57,"")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IF(Library!G58,Library!D58,"")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IF(Library!G59,Library!D59,"")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IF(Library!G60,Library!D60,"")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IF(Library!G61,Library!D61,"")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IF(Library!G62,Library!D62,"")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IF(Library!G63,Library!D63,"")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IF(Library!G64,Library!D64,"")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IF(Library!G65,Library!D65,"")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IF(Library!G66,Library!D66,"")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IF(Library!G67,Library!D67,"")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IF(Library!G68,Library!D68,"")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IF(Library!G69,Library!D69,"")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IF(Library!G70,Library!D70,"")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IF(Library!G71,Library!D71,"")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IF(Library!G72,Library!D72,"")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IF(Library!G73,Library!D73,"")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IF(Library!G74,Library!D74,"")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IF(Library!G75,Library!D75,"")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IF(Library!G76,Library!D76,"")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IF(Library!G77,Library!D77,"")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IF(Library!G78,Library!D78,"")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IF(Library!G79,Library!D79,"")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IF(Library!G80,Library!D80,"")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IF(Library!G81,Library!D81,"")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IF(Library!G82,Library!D82,"")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IF(Library!G83,Library!D83,"")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IF(Library!G84,Library!D84,"")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IF(Library!G85,Library!D85,"")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IF(Library!G86,Library!D86,"")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IF(Library!G87,Library!D87,"")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IF(Library!G88,Library!D88,"")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IF(Library!G89,Library!D89,"")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IF(Library!G90,Library!D90,"")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IF(Library!G91,Library!D91,"")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IF(Library!G92,Library!D92,"")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IF(Library!G93,Library!D93,"")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IF(Library!G94,Library!D94,"")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IF(Library!G95,Library!D95,"")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IF(Library!G96,Library!D96,"")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IF(Library!G97,Library!D97,"")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IF(Library!G98,Library!D98,"")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IF(Library!G99,Library!D99,"")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IF(Library!G100,Library!D100,"")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IF(Library!G101,Library!D101,"")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IF(Library!G102,Library!D102,"")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IF(Library!G103,Library!D103,"")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IF(Library!G104,Library!D104,"")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IF(Library!G105,Library!D105,"")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1Q6N0maAQNsOI43ZphZysMjsUMzPkWBybftcWP13tFYa3VpBIfjcO8oiJJC9/lEFsqnXug4WFdsAEbNVHfb6MQ==" saltValue="Li18yf8ME53aby/AQ6q8Qw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111</v>
      </c>
    </row>
    <row r="6" spans="1:2" x14ac:dyDescent="0.3">
      <c r="A6" t="s">
        <v>112</v>
      </c>
    </row>
    <row r="7" spans="1:2" x14ac:dyDescent="0.3">
      <c r="A7" t="s">
        <v>113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2025-12-10T13:10:04Z</dcterms:modified>
  <dc:language>en-GB</dc:language>
</cp:coreProperties>
</file>