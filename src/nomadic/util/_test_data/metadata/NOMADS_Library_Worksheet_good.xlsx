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u_bohmeier/programming/nomadic/src/nomadic/util/_test_data/metadata/"/>
    </mc:Choice>
  </mc:AlternateContent>
  <xr:revisionPtr revIDLastSave="0" documentId="8_{262391DB-55C4-4E4E-B379-948604222256}" xr6:coauthVersionLast="47" xr6:coauthVersionMax="47" xr10:uidLastSave="{00000000-0000-0000-0000-000000000000}"/>
  <bookViews>
    <workbookView xWindow="11920" yWindow="3160" windowWidth="27280" windowHeight="15460" tabRatio="500" xr2:uid="{00000000-000D-0000-FFFF-FFFF00000000}"/>
  </bookViews>
  <sheets>
    <sheet name="Library" sheetId="2" r:id="rId1"/>
    <sheet name="Gel" sheetId="8" r:id="rId2"/>
    <sheet name="nomadic" sheetId="6" state="hidden" r:id="rId3"/>
    <sheet name="options" sheetId="7" state="hidden" r:id="rId4"/>
    <sheet name="Instructions" sheetId="9" r:id="rId5"/>
  </sheets>
  <definedNames>
    <definedName name="Post_PCR_DNA_threshold_ngul">options!$B$1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2" l="1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" i="2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7" i="2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</calcChain>
</file>

<file path=xl/sharedStrings.xml><?xml version="1.0" encoding="utf-8"?>
<sst xmlns="http://schemas.openxmlformats.org/spreadsheetml/2006/main" count="146" uniqueCount="140">
  <si>
    <t>Date:</t>
  </si>
  <si>
    <t>(YYYY-MM-DD)</t>
  </si>
  <si>
    <t>Exp Number:</t>
  </si>
  <si>
    <t>Exp Name:</t>
  </si>
  <si>
    <t>Well</t>
  </si>
  <si>
    <t>PCR [DNA] (ng / µl)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</si>
  <si>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</si>
  <si>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</si>
  <si>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</si>
  <si>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</si>
  <si>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</si>
  <si>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</si>
  <si>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</si>
  <si>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</si>
  <si>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</si>
  <si>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</si>
  <si>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</si>
  <si>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</si>
  <si>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</si>
  <si>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</si>
  <si>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</si>
  <si>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</si>
  <si>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</si>
  <si>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</si>
  <si>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</si>
  <si>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</si>
  <si>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</si>
  <si>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</si>
  <si>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</si>
  <si>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</si>
  <si>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</si>
  <si>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</si>
  <si>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</si>
  <si>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</si>
  <si>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</si>
  <si>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</si>
  <si>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</si>
  <si>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</si>
  <si>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</si>
  <si>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</si>
  <si>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</si>
  <si>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</si>
  <si>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</si>
  <si>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</si>
  <si>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</si>
  <si>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</si>
  <si>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</si>
  <si>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</si>
  <si>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</si>
  <si>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</si>
  <si>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</si>
  <si>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</si>
  <si>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</si>
  <si>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</si>
  <si>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</si>
  <si>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</si>
  <si>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</si>
  <si>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</si>
  <si>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</si>
  <si>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</si>
  <si>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</si>
  <si>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</si>
  <si>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</si>
  <si>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</si>
  <si>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</si>
  <si>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</si>
  <si>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</si>
  <si>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</si>
  <si>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</si>
  <si>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</si>
  <si>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</si>
  <si>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</si>
  <si>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</si>
  <si>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</si>
  <si>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</si>
  <si>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</si>
  <si>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</si>
  <si>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</si>
  <si>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</si>
  <si>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</si>
  <si>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</si>
  <si>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</si>
  <si>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</si>
  <si>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</si>
  <si>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</si>
  <si>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</si>
  <si>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</si>
  <si>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</si>
  <si>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</si>
  <si>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</si>
  <si>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</si>
  <si>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</si>
  <si>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</si>
  <si>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</si>
  <si>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</si>
  <si>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</si>
  <si>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</si>
  <si>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</si>
  <si>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</si>
  <si>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</si>
  <si>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</si>
  <si>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</si>
  <si>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sample_id</t>
  </si>
  <si>
    <t>barcode</t>
  </si>
  <si>
    <t>Sample Type</t>
  </si>
  <si>
    <t>sample_type</t>
  </si>
  <si>
    <t>User Initials:</t>
  </si>
  <si>
    <t>Sample ID</t>
  </si>
  <si>
    <t>(first last)</t>
  </si>
  <si>
    <t>Study / Project:</t>
  </si>
  <si>
    <t>NOMADS Library Worksheet</t>
  </si>
  <si>
    <t>Batch:</t>
  </si>
  <si>
    <t>post_pcr_dna_conc_ngul</t>
  </si>
  <si>
    <t>(save this as the filename)</t>
  </si>
  <si>
    <t>Post PCR DNA threshold (ng / µl)</t>
  </si>
  <si>
    <t>Field</t>
  </si>
  <si>
    <t>Positive</t>
  </si>
  <si>
    <t>Negative</t>
  </si>
  <si>
    <t>Barcode</t>
  </si>
  <si>
    <t>(user defined experiment number)</t>
  </si>
  <si>
    <t>(e.g. A, B, C etc)</t>
  </si>
  <si>
    <t>Instructions</t>
  </si>
  <si>
    <t xml:space="preserve">      - when copying from another worksheet, always right-click and paste VALUES:</t>
  </si>
  <si>
    <t>2. Paste gel picture into the 'Gel' tab and label lanes</t>
  </si>
  <si>
    <t>1. Enter all details into the 'Library'  tab, ensuring all yellow highlighted cells are complete</t>
  </si>
  <si>
    <t xml:space="preserve">      - Copy sample list from 'Library' tab (Paste Special with Transpose to converting from list to row format):</t>
  </si>
  <si>
    <t xml:space="preserve">      - Compress the gel picture (Select image &gt; Picture format (ribbon) &gt; Compress Pictures):</t>
  </si>
  <si>
    <t xml:space="preserve">      - Crop the image to just the relevent areas (Select image &gt; Picture format (ribbon) &gt; Crop):</t>
  </si>
  <si>
    <t xml:space="preserve">      - Resize column width to the same as the gel image lane width</t>
  </si>
  <si>
    <t>3. Save workbook with the generated filename</t>
  </si>
  <si>
    <t>This template is used to record experimental details as part of a sequencing run.</t>
  </si>
  <si>
    <t>To prevent inadvertent loss of data, cells are protected from editing, you can only select unlocked cells (use tab to navigate)</t>
  </si>
  <si>
    <t>3D7 (NB01)</t>
  </si>
  <si>
    <t>Dd2 (NB02)</t>
  </si>
  <si>
    <t>CamC580Y (NB03)</t>
  </si>
  <si>
    <t>GB4 (NB04)</t>
  </si>
  <si>
    <t>HB3 (NB05)</t>
  </si>
  <si>
    <t>2025-10-22</t>
  </si>
  <si>
    <t>TT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</si>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</sst>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11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u/>
      <sz val="12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2"/>
      <color theme="1"/>
      <name val="Calibri"/>
      <family val="2"/>
      <scheme val="minor"/>
    </font>
    <font>
      <b/>
      <u/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rgb="FFD0CECE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BFBFBF"/>
      </patternFill>
    </fill>
    <fill>
      <patternFill patternType="solid">
        <fgColor theme="5" tint="-0.249977111117893"/>
        <bgColor rgb="FF993300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4" fontId="4" fillId="0" borderId="0" applyBorder="0" applyProtection="0"/>
    <xf numFmtId="164" fontId="4" fillId="0" borderId="0" applyBorder="0" applyProtection="0"/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" fontId="4" fillId="0" borderId="0" xfId="1" applyNumberFormat="1" applyBorder="1" applyAlignment="1" applyProtection="1">
      <alignment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0" fontId="0" fillId="6" borderId="0" xfId="0" applyFill="1"/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" fontId="0" fillId="0" borderId="2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right" wrapText="1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 wrapText="1"/>
    </xf>
    <xf numFmtId="1" fontId="0" fillId="0" borderId="0" xfId="0" applyNumberFormat="1" applyAlignment="1" applyProtection="1">
      <alignment horizontal="center" vertical="center"/>
      <protection locked="0"/>
    </xf>
    <xf numFmtId="1" fontId="4" fillId="0" borderId="0" xfId="1" applyNumberFormat="1" applyBorder="1" applyAlignment="1" applyProtection="1">
      <alignment horizontal="center" vertical="center"/>
      <protection locked="0"/>
    </xf>
    <xf numFmtId="0" fontId="4" fillId="2" borderId="0" xfId="1" applyNumberFormat="1" applyFill="1" applyBorder="1" applyAlignment="1" applyProtection="1">
      <alignment horizontal="center" vertical="center"/>
    </xf>
  </cellXfs>
  <cellStyles count="6">
    <cellStyle name="Comma" xfId="1" builtinId="3"/>
    <cellStyle name="Comma 2" xfId="2" xr:uid="{00000000-0005-0000-0000-000006000000}"/>
    <cellStyle name="Normal" xfId="0" builtinId="0"/>
    <cellStyle name="Normal 2" xfId="3" xr:uid="{00000000-0005-0000-0000-000007000000}"/>
    <cellStyle name="Normal 3" xfId="4" xr:uid="{00000000-0005-0000-0000-000008000000}"/>
    <cellStyle name="Normal 4" xfId="5" xr:uid="{00000000-0005-0000-0000-000009000000}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D9D9D9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C55A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5722197</xdr:colOff>
      <xdr:row>7</xdr:row>
      <xdr:rowOff>503582</xdr:rowOff>
    </xdr:from>
    <xdr:to>
      <xdr:col>0</xdr:col>
      <xdr:colOff>8090452</xdr:colOff>
      <xdr:row>8</xdr:row>
      <xdr:rowOff>1795571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7486F-13F2-4D15-AF57-5DE80E18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2197" y="4353339"/>
          <a:ext cx="2368255" cy="18154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6743280</xdr:colOff>
      <xdr:row>9</xdr:row>
      <xdr:rowOff>30330</xdr:rowOff>
    </xdr:from>
    <xdr:to>
      <xdr:col>0</xdr:col>
      <xdr:colOff>9481932</xdr:colOff>
      <xdr:row>9</xdr:row>
      <xdr:rowOff>2124505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F1153B-8D15-479B-A170-75DA31400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3280" y="6272104"/>
          <a:ext cx="2738652" cy="20941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5649402</xdr:colOff>
      <xdr:row>5</xdr:row>
      <xdr:rowOff>17891</xdr:rowOff>
    </xdr:from>
    <xdr:to>
      <xdr:col>0</xdr:col>
      <xdr:colOff>7268817</xdr:colOff>
      <xdr:row>5</xdr:row>
      <xdr:rowOff>1347467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20C78F-0A37-4575-8D4F-DC31DE465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49402" y="2052100"/>
          <a:ext cx="1619415" cy="1329576"/>
        </a:xfrm>
        <a:prstGeom prst="rect">
          <a:avLst/>
        </a:prstGeom>
      </xdr:spPr>
    </xdr:pic>
    <xdr:clientData/>
  </xdr:twoCellAnchor>
  <xdr:twoCellAnchor editAs="oneCell">
    <xdr:from>
      <xdr:col>0</xdr:col>
      <xdr:colOff>5950226</xdr:colOff>
      <xdr:row>7</xdr:row>
      <xdr:rowOff>26503</xdr:rowOff>
    </xdr:from>
    <xdr:to>
      <xdr:col>0</xdr:col>
      <xdr:colOff>6261651</xdr:colOff>
      <xdr:row>8</xdr:row>
      <xdr:rowOff>44578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34831D-3EFA-3DF6-38DE-55FE6F9FC1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r="-1"/>
        <a:stretch>
          <a:fillRect/>
        </a:stretch>
      </xdr:blipFill>
      <xdr:spPr>
        <a:xfrm>
          <a:off x="5950226" y="3876260"/>
          <a:ext cx="311425" cy="5415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SeqLib" displayName="tbl_SeqLib" ref="A9:E105" totalsRowShown="0" headerRowDxfId="15" dataDxfId="14">
  <autoFilter ref="A9:E105" xr:uid="{00000000-0009-0000-0100-000003000000}"/>
  <tableColumns count="5">
    <tableColumn id="2" xr3:uid="{00000000-0010-0000-0000-000002000000}" name="Well" dataDxfId="13"/>
    <tableColumn id="3" xr3:uid="{00000000-0010-0000-0000-000003000000}" name="Sample ID" dataDxfId="12"/>
    <tableColumn id="26" xr3:uid="{CDAB9BF6-0E65-46A9-85EA-6751A98F15D6}" name="Sample Type" dataDxfId="11"/>
    <tableColumn id="9" xr3:uid="{00000000-0010-0000-0000-000009000000}" name="PCR [DNA] (ng / µl)" dataDxfId="10"/>
    <tableColumn id="10" xr3:uid="{00000000-0010-0000-0000-00000A000000}" name="Barcode" dataDxfId="9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nomadic" displayName="tbl_nomadic" ref="A1:D97" totalsRowShown="0">
  <autoFilter ref="A1:D97" xr:uid="{00000000-0009-0000-0100-000002000000}"/>
  <tableColumns count="4">
    <tableColumn id="1" xr3:uid="{00000000-0010-0000-0200-000001000000}" name="sample_id"/>
    <tableColumn id="9" xr3:uid="{98E62512-61AC-41C9-8930-37E9E6964CA3}" name="sample_type" dataDxfId="8">
      <calculatedColumnFormula>IF(LEN(Library!C10)=0,"",Library!C10)</calculatedColumnFormula>
    </tableColumn>
    <tableColumn id="7" xr3:uid="{00000000-0010-0000-0200-000007000000}" name="barcode" dataDxfId="7">
      <calculatedColumnFormula>IF(OR(ISBLANK(Library!E10),ISBLANK(Library!B10)),"",CONCATENATE("barcode",TEXT(Library!E10,"00")))</calculatedColumnFormula>
    </tableColumn>
    <tableColumn id="2" xr3:uid="{1FDA51E1-A0B8-4EA2-9C5A-4746ACED2260}" name="post_pcr_dna_conc_ngul" dataDxfId="6">
      <calculatedColumnFormula>IF(LEN(Library!D10)=0,"",Library!D10)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F115"/>
  <sheetViews>
    <sheetView tabSelected="1" zoomScaleNormal="100" workbookViewId="0">
      <selection activeCell="C7" sqref="C7:E7"/>
    </sheetView>
  </sheetViews>
  <sheetFormatPr baseColWidth="10" defaultColWidth="11" defaultRowHeight="16" x14ac:dyDescent="0.2"/>
  <cols>
    <col min="1" max="1" width="9.83203125" customWidth="1"/>
    <col min="2" max="2" width="30.33203125" customWidth="1"/>
    <col min="3" max="3" width="24.33203125" customWidth="1"/>
    <col min="4" max="4" width="28.5" customWidth="1"/>
    <col min="5" max="5" width="24" customWidth="1"/>
    <col min="6" max="6" width="11.83203125" customWidth="1"/>
  </cols>
  <sheetData>
    <row r="1" spans="1:6" x14ac:dyDescent="0.2">
      <c r="A1" s="34" t="s">
        <v>110</v>
      </c>
      <c r="B1" s="34"/>
      <c r="C1" s="34"/>
      <c r="D1" s="34"/>
      <c r="E1" s="34"/>
      <c r="F1" s="34"/>
    </row>
    <row r="2" spans="1:6" x14ac:dyDescent="0.2">
      <c r="A2" s="32" t="s">
        <v>0</v>
      </c>
      <c r="B2" s="32"/>
      <c r="C2" s="35" t="s">
        <v>137</v>
      </c>
      <c r="D2" s="35"/>
      <c r="E2" s="35"/>
      <c r="F2" s="6" t="s">
        <v>1</v>
      </c>
    </row>
    <row r="3" spans="1:6" x14ac:dyDescent="0.2">
      <c r="A3" s="32" t="s">
        <v>106</v>
      </c>
      <c r="B3" s="32"/>
      <c r="C3" s="33" t="s">
        <v>138</v>
      </c>
      <c r="D3" s="33"/>
      <c r="E3" s="33"/>
      <c r="F3" t="s">
        <v>108</v>
      </c>
    </row>
    <row r="4" spans="1:6" x14ac:dyDescent="0.2">
      <c r="A4" s="32" t="s">
        <v>109</v>
      </c>
      <c r="B4" s="32"/>
      <c r="C4" s="33" t="s">
        <v>139</v>
      </c>
      <c r="D4" s="33"/>
      <c r="E4" s="33"/>
    </row>
    <row r="5" spans="1:6" x14ac:dyDescent="0.2">
      <c r="A5" s="32" t="s">
        <v>2</v>
      </c>
      <c r="B5" s="32"/>
      <c r="C5" s="38">
        <v>1</v>
      </c>
      <c r="D5" s="38"/>
      <c r="E5" s="38"/>
      <c r="F5" s="7" t="s">
        <v>119</v>
      </c>
    </row>
    <row r="6" spans="1:6" x14ac:dyDescent="0.2">
      <c r="A6" s="36" t="s">
        <v>111</v>
      </c>
      <c r="B6" s="36"/>
      <c r="C6" s="39">
        <v>1</v>
      </c>
      <c r="D6" s="39"/>
      <c r="E6" s="39"/>
      <c r="F6" s="6" t="s">
        <v>120</v>
      </c>
    </row>
    <row r="7" spans="1:6" x14ac:dyDescent="0.2">
      <c r="A7" s="37" t="s">
        <v>3</v>
      </c>
      <c r="B7" s="37"/>
      <c r="C7" s="40" t="str">
        <f>IF(OR(ISBLANK(C2),ISBLANK(C3),ISBLANK(C4), ISBLANK(C5), ISBLANK(C6)),"",CONCATENATE(C2,"_",C3,TEXT(C5,"000"),"_",C4,"_Batch",C6))</f>
        <v>2025-10-22_TT001_TEST_Batch1</v>
      </c>
      <c r="D7" s="40"/>
      <c r="E7" s="40"/>
      <c r="F7" s="6" t="s">
        <v>113</v>
      </c>
    </row>
    <row r="8" spans="1:6" x14ac:dyDescent="0.2">
      <c r="F8" s="8"/>
    </row>
    <row r="9" spans="1:6" ht="18" thickBot="1" x14ac:dyDescent="0.25">
      <c r="A9" s="10" t="s">
        <v>4</v>
      </c>
      <c r="B9" s="11" t="s">
        <v>107</v>
      </c>
      <c r="C9" s="11" t="s">
        <v>104</v>
      </c>
      <c r="D9" s="12" t="s">
        <v>5</v>
      </c>
      <c r="E9" s="13" t="s">
        <v>118</v>
      </c>
    </row>
    <row r="10" spans="1:6" ht="17" thickBot="1" x14ac:dyDescent="0.25">
      <c r="A10" s="14" t="s">
        <v>6</v>
      </c>
      <c r="B10" t="s">
        <v>132</v>
      </c>
      <c r="C10" s="3" t="s">
        <v>115</v>
      </c>
      <c r="D10" s="18">
        <v>1</v>
      </c>
      <c r="E10" s="29">
        <v>1</v>
      </c>
      <c r="F10" t="str">
        <f>IF(COUNTIF(tbl_SeqLib[Barcode],tbl_SeqLib[[#This Row],[Barcode]])&gt;1,"DUPLICATE","")</f>
        <v/>
      </c>
    </row>
    <row r="11" spans="1:6" s="1" customFormat="1" ht="17" thickBot="1" x14ac:dyDescent="0.25">
      <c r="A11" s="15" t="s">
        <v>7</v>
      </c>
      <c r="B11" t="s">
        <v>133</v>
      </c>
      <c r="C11" s="3" t="s">
        <v>115</v>
      </c>
      <c r="D11" s="19">
        <v>1</v>
      </c>
      <c r="E11" s="30">
        <v>2</v>
      </c>
      <c r="F11" t="str">
        <f>IF(COUNTIF(tbl_SeqLib[Barcode],tbl_SeqLib[[#This Row],[Barcode]])&gt;1,"DUPLICATE","")</f>
        <v/>
      </c>
    </row>
    <row r="12" spans="1:6" ht="15.75" customHeight="1" thickBot="1" x14ac:dyDescent="0.25">
      <c r="A12" s="15" t="s">
        <v>8</v>
      </c>
      <c r="B12" t="s">
        <v>134</v>
      </c>
      <c r="C12" s="3" t="s">
        <v>115</v>
      </c>
      <c r="D12" s="19">
        <v>1</v>
      </c>
      <c r="E12" s="30">
        <v>3</v>
      </c>
      <c r="F12" t="str">
        <f>IF(COUNTIF(tbl_SeqLib[Barcode],tbl_SeqLib[[#This Row],[Barcode]])&gt;1,"DUPLICATE","")</f>
        <v/>
      </c>
    </row>
    <row r="13" spans="1:6" ht="15.75" customHeight="1" thickBot="1" x14ac:dyDescent="0.25">
      <c r="A13" s="15" t="s">
        <v>9</v>
      </c>
      <c r="B13" t="s">
        <v>135</v>
      </c>
      <c r="C13" s="3" t="s">
        <v>115</v>
      </c>
      <c r="D13" s="19">
        <v>1</v>
      </c>
      <c r="E13" s="30">
        <v>4</v>
      </c>
      <c r="F13" t="str">
        <f>IF(COUNTIF(tbl_SeqLib[Barcode],tbl_SeqLib[[#This Row],[Barcode]])&gt;1,"DUPLICATE","")</f>
        <v/>
      </c>
    </row>
    <row r="14" spans="1:6" ht="15.75" customHeight="1" x14ac:dyDescent="0.2">
      <c r="A14" s="15" t="s">
        <v>10</v>
      </c>
      <c r="B14" t="s">
        <v>136</v>
      </c>
      <c r="C14" s="3" t="s">
        <v>115</v>
      </c>
      <c r="D14" s="19">
        <v>1</v>
      </c>
      <c r="E14" s="30">
        <v>5</v>
      </c>
      <c r="F14" t="str">
        <f>IF(COUNTIF(tbl_SeqLib[Barcode],tbl_SeqLib[[#This Row],[Barcode]])&gt;1,"DUPLICATE","")</f>
        <v/>
      </c>
    </row>
    <row r="15" spans="1:6" ht="15.75" customHeight="1" x14ac:dyDescent="0.2">
      <c r="A15" s="15" t="s">
        <v>11</v>
      </c>
      <c r="B15" s="2"/>
      <c r="C15" s="2"/>
      <c r="D15" s="19"/>
      <c r="E15" s="30">
        <v>6</v>
      </c>
      <c r="F15" t="str">
        <f>IF(COUNTIF(tbl_SeqLib[Barcode],tbl_SeqLib[[#This Row],[Barcode]])&gt;1,"DUPLICATE","")</f>
        <v/>
      </c>
    </row>
    <row r="16" spans="1:6" ht="15.75" customHeight="1" x14ac:dyDescent="0.2">
      <c r="A16" s="15" t="s">
        <v>12</v>
      </c>
      <c r="B16" s="2"/>
      <c r="C16" s="2"/>
      <c r="D16" s="19"/>
      <c r="E16" s="30">
        <v>7</v>
      </c>
      <c r="F16" t="str">
        <f>IF(COUNTIF(tbl_SeqLib[Barcode],tbl_SeqLib[[#This Row],[Barcode]])&gt;1,"DUPLICATE","")</f>
        <v/>
      </c>
    </row>
    <row r="17" spans="1:6" ht="15.75" customHeight="1" thickBot="1" x14ac:dyDescent="0.25">
      <c r="A17" s="16" t="s">
        <v>13</v>
      </c>
      <c r="B17" s="4"/>
      <c r="C17" s="5"/>
      <c r="D17" s="20"/>
      <c r="E17" s="31">
        <v>8</v>
      </c>
      <c r="F17" t="str">
        <f>IF(COUNTIF(tbl_SeqLib[Barcode],tbl_SeqLib[[#This Row],[Barcode]])&gt;1,"DUPLICATE","")</f>
        <v/>
      </c>
    </row>
    <row r="18" spans="1:6" ht="15.75" customHeight="1" x14ac:dyDescent="0.2">
      <c r="A18" s="14" t="s">
        <v>14</v>
      </c>
      <c r="B18" s="3"/>
      <c r="C18" s="3"/>
      <c r="D18" s="18"/>
      <c r="E18" s="29">
        <v>9</v>
      </c>
      <c r="F18" t="str">
        <f>IF(COUNTIF(tbl_SeqLib[Barcode],tbl_SeqLib[[#This Row],[Barcode]])&gt;1,"DUPLICATE","")</f>
        <v/>
      </c>
    </row>
    <row r="19" spans="1:6" ht="15.75" customHeight="1" x14ac:dyDescent="0.2">
      <c r="A19" s="15" t="s">
        <v>15</v>
      </c>
      <c r="B19" s="2"/>
      <c r="C19" s="2"/>
      <c r="D19" s="19"/>
      <c r="E19" s="30">
        <v>10</v>
      </c>
      <c r="F19" t="str">
        <f>IF(COUNTIF(tbl_SeqLib[Barcode],tbl_SeqLib[[#This Row],[Barcode]])&gt;1,"DUPLICATE","")</f>
        <v/>
      </c>
    </row>
    <row r="20" spans="1:6" ht="15.75" customHeight="1" x14ac:dyDescent="0.2">
      <c r="A20" s="15" t="s">
        <v>16</v>
      </c>
      <c r="B20" s="2"/>
      <c r="C20" s="2"/>
      <c r="D20" s="19"/>
      <c r="E20" s="30">
        <v>11</v>
      </c>
      <c r="F20" t="str">
        <f>IF(COUNTIF(tbl_SeqLib[Barcode],tbl_SeqLib[[#This Row],[Barcode]])&gt;1,"DUPLICATE","")</f>
        <v/>
      </c>
    </row>
    <row r="21" spans="1:6" ht="15.75" customHeight="1" x14ac:dyDescent="0.2">
      <c r="A21" s="15" t="s">
        <v>17</v>
      </c>
      <c r="B21" s="2"/>
      <c r="C21" s="2"/>
      <c r="D21" s="19"/>
      <c r="E21" s="30">
        <v>12</v>
      </c>
      <c r="F21" t="str">
        <f>IF(COUNTIF(tbl_SeqLib[Barcode],tbl_SeqLib[[#This Row],[Barcode]])&gt;1,"DUPLICATE","")</f>
        <v/>
      </c>
    </row>
    <row r="22" spans="1:6" ht="15.75" customHeight="1" x14ac:dyDescent="0.2">
      <c r="A22" s="15" t="s">
        <v>18</v>
      </c>
      <c r="B22" s="2"/>
      <c r="C22" s="2"/>
      <c r="D22" s="19"/>
      <c r="E22" s="30">
        <v>13</v>
      </c>
      <c r="F22" t="str">
        <f>IF(COUNTIF(tbl_SeqLib[Barcode],tbl_SeqLib[[#This Row],[Barcode]])&gt;1,"DUPLICATE","")</f>
        <v/>
      </c>
    </row>
    <row r="23" spans="1:6" ht="15.75" customHeight="1" x14ac:dyDescent="0.2">
      <c r="A23" s="15" t="s">
        <v>19</v>
      </c>
      <c r="B23" s="2"/>
      <c r="C23" s="2"/>
      <c r="D23" s="19"/>
      <c r="E23" s="30">
        <v>14</v>
      </c>
      <c r="F23" t="str">
        <f>IF(COUNTIF(tbl_SeqLib[Barcode],tbl_SeqLib[[#This Row],[Barcode]])&gt;1,"DUPLICATE","")</f>
        <v/>
      </c>
    </row>
    <row r="24" spans="1:6" ht="15.75" customHeight="1" x14ac:dyDescent="0.2">
      <c r="A24" s="15" t="s">
        <v>20</v>
      </c>
      <c r="B24" s="2"/>
      <c r="C24" s="2"/>
      <c r="D24" s="19"/>
      <c r="E24" s="30">
        <v>15</v>
      </c>
      <c r="F24" t="str">
        <f>IF(COUNTIF(tbl_SeqLib[Barcode],tbl_SeqLib[[#This Row],[Barcode]])&gt;1,"DUPLICATE","")</f>
        <v/>
      </c>
    </row>
    <row r="25" spans="1:6" ht="15.75" customHeight="1" thickBot="1" x14ac:dyDescent="0.25">
      <c r="A25" s="17" t="s">
        <v>21</v>
      </c>
      <c r="B25" s="5"/>
      <c r="C25" s="5"/>
      <c r="D25" s="21"/>
      <c r="E25" s="31">
        <v>16</v>
      </c>
      <c r="F25" t="str">
        <f>IF(COUNTIF(tbl_SeqLib[Barcode],tbl_SeqLib[[#This Row],[Barcode]])&gt;1,"DUPLICATE","")</f>
        <v/>
      </c>
    </row>
    <row r="26" spans="1:6" ht="15.75" customHeight="1" x14ac:dyDescent="0.2">
      <c r="A26" s="14" t="s">
        <v>22</v>
      </c>
      <c r="B26" s="3"/>
      <c r="C26" s="3"/>
      <c r="D26" s="18"/>
      <c r="E26" s="29">
        <v>17</v>
      </c>
      <c r="F26" t="str">
        <f>IF(COUNTIF(tbl_SeqLib[Barcode],tbl_SeqLib[[#This Row],[Barcode]])&gt;1,"DUPLICATE","")</f>
        <v/>
      </c>
    </row>
    <row r="27" spans="1:6" ht="15.75" customHeight="1" x14ac:dyDescent="0.2">
      <c r="A27" s="15" t="s">
        <v>23</v>
      </c>
      <c r="B27" s="2"/>
      <c r="C27" s="2"/>
      <c r="D27" s="19"/>
      <c r="E27" s="30">
        <v>18</v>
      </c>
      <c r="F27" t="str">
        <f>IF(COUNTIF(tbl_SeqLib[Barcode],tbl_SeqLib[[#This Row],[Barcode]])&gt;1,"DUPLICATE","")</f>
        <v/>
      </c>
    </row>
    <row r="28" spans="1:6" ht="15.75" customHeight="1" x14ac:dyDescent="0.2">
      <c r="A28" s="15" t="s">
        <v>24</v>
      </c>
      <c r="B28" s="2"/>
      <c r="C28" s="2"/>
      <c r="D28" s="19"/>
      <c r="E28" s="30">
        <v>19</v>
      </c>
      <c r="F28" t="str">
        <f>IF(COUNTIF(tbl_SeqLib[Barcode],tbl_SeqLib[[#This Row],[Barcode]])&gt;1,"DUPLICATE","")</f>
        <v/>
      </c>
    </row>
    <row r="29" spans="1:6" ht="15.75" customHeight="1" x14ac:dyDescent="0.2">
      <c r="A29" s="15" t="s">
        <v>25</v>
      </c>
      <c r="B29" s="2"/>
      <c r="C29" s="2"/>
      <c r="D29" s="19"/>
      <c r="E29" s="30">
        <v>20</v>
      </c>
      <c r="F29" t="str">
        <f>IF(COUNTIF(tbl_SeqLib[Barcode],tbl_SeqLib[[#This Row],[Barcode]])&gt;1,"DUPLICATE","")</f>
        <v/>
      </c>
    </row>
    <row r="30" spans="1:6" ht="15.75" customHeight="1" x14ac:dyDescent="0.2">
      <c r="A30" s="15" t="s">
        <v>26</v>
      </c>
      <c r="B30" s="2"/>
      <c r="C30" s="2"/>
      <c r="D30" s="19"/>
      <c r="E30" s="30">
        <v>21</v>
      </c>
      <c r="F30" t="str">
        <f>IF(COUNTIF(tbl_SeqLib[Barcode],tbl_SeqLib[[#This Row],[Barcode]])&gt;1,"DUPLICATE","")</f>
        <v/>
      </c>
    </row>
    <row r="31" spans="1:6" ht="15.75" customHeight="1" x14ac:dyDescent="0.2">
      <c r="A31" s="15" t="s">
        <v>27</v>
      </c>
      <c r="B31" s="2"/>
      <c r="C31" s="2"/>
      <c r="D31" s="19"/>
      <c r="E31" s="30">
        <v>22</v>
      </c>
      <c r="F31" t="str">
        <f>IF(COUNTIF(tbl_SeqLib[Barcode],tbl_SeqLib[[#This Row],[Barcode]])&gt;1,"DUPLICATE","")</f>
        <v/>
      </c>
    </row>
    <row r="32" spans="1:6" ht="15.75" customHeight="1" x14ac:dyDescent="0.2">
      <c r="A32" s="15" t="s">
        <v>28</v>
      </c>
      <c r="B32" s="2"/>
      <c r="C32" s="2"/>
      <c r="D32" s="19"/>
      <c r="E32" s="30">
        <v>23</v>
      </c>
      <c r="F32" t="str">
        <f>IF(COUNTIF(tbl_SeqLib[Barcode],tbl_SeqLib[[#This Row],[Barcode]])&gt;1,"DUPLICATE","")</f>
        <v/>
      </c>
    </row>
    <row r="33" spans="1:6" ht="15.75" customHeight="1" thickBot="1" x14ac:dyDescent="0.25">
      <c r="A33" s="16" t="s">
        <v>29</v>
      </c>
      <c r="B33" s="4"/>
      <c r="C33" s="4"/>
      <c r="D33" s="20"/>
      <c r="E33" s="31">
        <v>24</v>
      </c>
      <c r="F33" t="str">
        <f>IF(COUNTIF(tbl_SeqLib[Barcode],tbl_SeqLib[[#This Row],[Barcode]])&gt;1,"DUPLICATE","")</f>
        <v/>
      </c>
    </row>
    <row r="34" spans="1:6" ht="15.75" customHeight="1" x14ac:dyDescent="0.2">
      <c r="A34" s="14" t="s">
        <v>30</v>
      </c>
      <c r="B34" s="3"/>
      <c r="C34" s="3"/>
      <c r="D34" s="18"/>
      <c r="E34" s="29">
        <v>25</v>
      </c>
      <c r="F34" t="str">
        <f>IF(COUNTIF(tbl_SeqLib[Barcode],tbl_SeqLib[[#This Row],[Barcode]])&gt;1,"DUPLICATE","")</f>
        <v/>
      </c>
    </row>
    <row r="35" spans="1:6" ht="15.75" customHeight="1" x14ac:dyDescent="0.2">
      <c r="A35" s="15" t="s">
        <v>31</v>
      </c>
      <c r="B35" s="2"/>
      <c r="C35" s="2"/>
      <c r="D35" s="19"/>
      <c r="E35" s="30">
        <v>26</v>
      </c>
      <c r="F35" t="str">
        <f>IF(COUNTIF(tbl_SeqLib[Barcode],tbl_SeqLib[[#This Row],[Barcode]])&gt;1,"DUPLICATE","")</f>
        <v/>
      </c>
    </row>
    <row r="36" spans="1:6" ht="15.75" customHeight="1" x14ac:dyDescent="0.2">
      <c r="A36" s="15" t="s">
        <v>32</v>
      </c>
      <c r="B36" s="2"/>
      <c r="C36" s="2"/>
      <c r="D36" s="19"/>
      <c r="E36" s="30">
        <v>27</v>
      </c>
      <c r="F36" t="str">
        <f>IF(COUNTIF(tbl_SeqLib[Barcode],tbl_SeqLib[[#This Row],[Barcode]])&gt;1,"DUPLICATE","")</f>
        <v/>
      </c>
    </row>
    <row r="37" spans="1:6" ht="15.75" customHeight="1" x14ac:dyDescent="0.2">
      <c r="A37" s="15" t="s">
        <v>33</v>
      </c>
      <c r="B37" s="2"/>
      <c r="C37" s="2"/>
      <c r="D37" s="19"/>
      <c r="E37" s="30">
        <v>28</v>
      </c>
      <c r="F37" t="str">
        <f>IF(COUNTIF(tbl_SeqLib[Barcode],tbl_SeqLib[[#This Row],[Barcode]])&gt;1,"DUPLICATE","")</f>
        <v/>
      </c>
    </row>
    <row r="38" spans="1:6" ht="15.75" customHeight="1" x14ac:dyDescent="0.2">
      <c r="A38" s="15" t="s">
        <v>34</v>
      </c>
      <c r="B38" s="2"/>
      <c r="C38" s="2"/>
      <c r="D38" s="19"/>
      <c r="E38" s="30">
        <v>29</v>
      </c>
      <c r="F38" t="str">
        <f>IF(COUNTIF(tbl_SeqLib[Barcode],tbl_SeqLib[[#This Row],[Barcode]])&gt;1,"DUPLICATE","")</f>
        <v/>
      </c>
    </row>
    <row r="39" spans="1:6" ht="15.75" customHeight="1" x14ac:dyDescent="0.2">
      <c r="A39" s="15" t="s">
        <v>35</v>
      </c>
      <c r="B39" s="2"/>
      <c r="C39" s="2"/>
      <c r="D39" s="19"/>
      <c r="E39" s="30">
        <v>30</v>
      </c>
      <c r="F39" t="str">
        <f>IF(COUNTIF(tbl_SeqLib[Barcode],tbl_SeqLib[[#This Row],[Barcode]])&gt;1,"DUPLICATE","")</f>
        <v/>
      </c>
    </row>
    <row r="40" spans="1:6" ht="15.75" customHeight="1" x14ac:dyDescent="0.2">
      <c r="A40" s="15" t="s">
        <v>36</v>
      </c>
      <c r="B40" s="2"/>
      <c r="C40" s="2"/>
      <c r="D40" s="19"/>
      <c r="E40" s="30">
        <v>31</v>
      </c>
      <c r="F40" t="str">
        <f>IF(COUNTIF(tbl_SeqLib[Barcode],tbl_SeqLib[[#This Row],[Barcode]])&gt;1,"DUPLICATE","")</f>
        <v/>
      </c>
    </row>
    <row r="41" spans="1:6" ht="15.75" customHeight="1" thickBot="1" x14ac:dyDescent="0.25">
      <c r="A41" s="16" t="s">
        <v>37</v>
      </c>
      <c r="B41" s="4"/>
      <c r="C41" s="4"/>
      <c r="D41" s="20"/>
      <c r="E41" s="31">
        <v>32</v>
      </c>
      <c r="F41" t="str">
        <f>IF(COUNTIF(tbl_SeqLib[Barcode],tbl_SeqLib[[#This Row],[Barcode]])&gt;1,"DUPLICATE","")</f>
        <v/>
      </c>
    </row>
    <row r="42" spans="1:6" ht="15.75" customHeight="1" x14ac:dyDescent="0.2">
      <c r="A42" s="14" t="s">
        <v>38</v>
      </c>
      <c r="B42" s="3"/>
      <c r="C42" s="3"/>
      <c r="D42" s="18"/>
      <c r="E42" s="29">
        <v>33</v>
      </c>
      <c r="F42" t="str">
        <f>IF(COUNTIF(tbl_SeqLib[Barcode],tbl_SeqLib[[#This Row],[Barcode]])&gt;1,"DUPLICATE","")</f>
        <v/>
      </c>
    </row>
    <row r="43" spans="1:6" ht="15.75" customHeight="1" x14ac:dyDescent="0.2">
      <c r="A43" s="15" t="s">
        <v>39</v>
      </c>
      <c r="B43" s="2"/>
      <c r="C43" s="2"/>
      <c r="D43" s="19"/>
      <c r="E43" s="30">
        <v>34</v>
      </c>
      <c r="F43" t="str">
        <f>IF(COUNTIF(tbl_SeqLib[Barcode],tbl_SeqLib[[#This Row],[Barcode]])&gt;1,"DUPLICATE","")</f>
        <v/>
      </c>
    </row>
    <row r="44" spans="1:6" ht="15.75" customHeight="1" x14ac:dyDescent="0.2">
      <c r="A44" s="15" t="s">
        <v>40</v>
      </c>
      <c r="B44" s="2"/>
      <c r="C44" s="2"/>
      <c r="D44" s="19"/>
      <c r="E44" s="30">
        <v>35</v>
      </c>
      <c r="F44" t="str">
        <f>IF(COUNTIF(tbl_SeqLib[Barcode],tbl_SeqLib[[#This Row],[Barcode]])&gt;1,"DUPLICATE","")</f>
        <v/>
      </c>
    </row>
    <row r="45" spans="1:6" ht="15.75" customHeight="1" x14ac:dyDescent="0.2">
      <c r="A45" s="15" t="s">
        <v>41</v>
      </c>
      <c r="B45" s="2"/>
      <c r="C45" s="2"/>
      <c r="D45" s="19"/>
      <c r="E45" s="30">
        <v>36</v>
      </c>
      <c r="F45" t="str">
        <f>IF(COUNTIF(tbl_SeqLib[Barcode],tbl_SeqLib[[#This Row],[Barcode]])&gt;1,"DUPLICATE","")</f>
        <v/>
      </c>
    </row>
    <row r="46" spans="1:6" ht="15.75" customHeight="1" x14ac:dyDescent="0.2">
      <c r="A46" s="15" t="s">
        <v>42</v>
      </c>
      <c r="B46" s="2"/>
      <c r="C46" s="2"/>
      <c r="D46" s="19"/>
      <c r="E46" s="30">
        <v>37</v>
      </c>
      <c r="F46" t="str">
        <f>IF(COUNTIF(tbl_SeqLib[Barcode],tbl_SeqLib[[#This Row],[Barcode]])&gt;1,"DUPLICATE","")</f>
        <v/>
      </c>
    </row>
    <row r="47" spans="1:6" ht="15.75" customHeight="1" x14ac:dyDescent="0.2">
      <c r="A47" s="15" t="s">
        <v>43</v>
      </c>
      <c r="B47" s="2"/>
      <c r="C47" s="2"/>
      <c r="D47" s="19"/>
      <c r="E47" s="30">
        <v>38</v>
      </c>
      <c r="F47" t="str">
        <f>IF(COUNTIF(tbl_SeqLib[Barcode],tbl_SeqLib[[#This Row],[Barcode]])&gt;1,"DUPLICATE","")</f>
        <v/>
      </c>
    </row>
    <row r="48" spans="1:6" ht="15.75" customHeight="1" x14ac:dyDescent="0.2">
      <c r="A48" s="15" t="s">
        <v>44</v>
      </c>
      <c r="B48" s="2"/>
      <c r="C48" s="2"/>
      <c r="D48" s="19"/>
      <c r="E48" s="30">
        <v>39</v>
      </c>
      <c r="F48" t="str">
        <f>IF(COUNTIF(tbl_SeqLib[Barcode],tbl_SeqLib[[#This Row],[Barcode]])&gt;1,"DUPLICATE","")</f>
        <v/>
      </c>
    </row>
    <row r="49" spans="1:6" ht="15.75" customHeight="1" thickBot="1" x14ac:dyDescent="0.25">
      <c r="A49" s="16" t="s">
        <v>45</v>
      </c>
      <c r="B49" s="4"/>
      <c r="C49" s="4"/>
      <c r="D49" s="20"/>
      <c r="E49" s="31">
        <v>40</v>
      </c>
      <c r="F49" t="str">
        <f>IF(COUNTIF(tbl_SeqLib[Barcode],tbl_SeqLib[[#This Row],[Barcode]])&gt;1,"DUPLICATE","")</f>
        <v/>
      </c>
    </row>
    <row r="50" spans="1:6" ht="15.75" customHeight="1" x14ac:dyDescent="0.2">
      <c r="A50" s="14" t="s">
        <v>46</v>
      </c>
      <c r="B50" s="3"/>
      <c r="C50" s="3"/>
      <c r="D50" s="18"/>
      <c r="E50" s="29">
        <v>41</v>
      </c>
      <c r="F50" t="str">
        <f>IF(COUNTIF(tbl_SeqLib[Barcode],tbl_SeqLib[[#This Row],[Barcode]])&gt;1,"DUPLICATE","")</f>
        <v/>
      </c>
    </row>
    <row r="51" spans="1:6" ht="15.75" customHeight="1" x14ac:dyDescent="0.2">
      <c r="A51" s="15" t="s">
        <v>47</v>
      </c>
      <c r="B51" s="2"/>
      <c r="C51" s="2"/>
      <c r="D51" s="19"/>
      <c r="E51" s="30">
        <v>42</v>
      </c>
      <c r="F51" t="str">
        <f>IF(COUNTIF(tbl_SeqLib[Barcode],tbl_SeqLib[[#This Row],[Barcode]])&gt;1,"DUPLICATE","")</f>
        <v/>
      </c>
    </row>
    <row r="52" spans="1:6" ht="15.75" customHeight="1" x14ac:dyDescent="0.2">
      <c r="A52" s="15" t="s">
        <v>48</v>
      </c>
      <c r="B52" s="2"/>
      <c r="C52" s="2"/>
      <c r="D52" s="19"/>
      <c r="E52" s="30">
        <v>43</v>
      </c>
      <c r="F52" t="str">
        <f>IF(COUNTIF(tbl_SeqLib[Barcode],tbl_SeqLib[[#This Row],[Barcode]])&gt;1,"DUPLICATE","")</f>
        <v/>
      </c>
    </row>
    <row r="53" spans="1:6" ht="15.75" customHeight="1" x14ac:dyDescent="0.2">
      <c r="A53" s="15" t="s">
        <v>49</v>
      </c>
      <c r="B53" s="2"/>
      <c r="C53" s="2"/>
      <c r="D53" s="19"/>
      <c r="E53" s="30">
        <v>44</v>
      </c>
      <c r="F53" t="str">
        <f>IF(COUNTIF(tbl_SeqLib[Barcode],tbl_SeqLib[[#This Row],[Barcode]])&gt;1,"DUPLICATE","")</f>
        <v/>
      </c>
    </row>
    <row r="54" spans="1:6" ht="15.75" customHeight="1" x14ac:dyDescent="0.2">
      <c r="A54" s="15" t="s">
        <v>50</v>
      </c>
      <c r="B54" s="2"/>
      <c r="C54" s="2"/>
      <c r="D54" s="19"/>
      <c r="E54" s="30">
        <v>45</v>
      </c>
      <c r="F54" t="str">
        <f>IF(COUNTIF(tbl_SeqLib[Barcode],tbl_SeqLib[[#This Row],[Barcode]])&gt;1,"DUPLICATE","")</f>
        <v/>
      </c>
    </row>
    <row r="55" spans="1:6" ht="15.75" customHeight="1" x14ac:dyDescent="0.2">
      <c r="A55" s="15" t="s">
        <v>51</v>
      </c>
      <c r="B55" s="2"/>
      <c r="C55" s="2"/>
      <c r="D55" s="19"/>
      <c r="E55" s="30">
        <v>46</v>
      </c>
      <c r="F55" t="str">
        <f>IF(COUNTIF(tbl_SeqLib[Barcode],tbl_SeqLib[[#This Row],[Barcode]])&gt;1,"DUPLICATE","")</f>
        <v/>
      </c>
    </row>
    <row r="56" spans="1:6" ht="15.75" customHeight="1" x14ac:dyDescent="0.2">
      <c r="A56" s="15" t="s">
        <v>52</v>
      </c>
      <c r="B56" s="2"/>
      <c r="C56" s="2"/>
      <c r="D56" s="19"/>
      <c r="E56" s="30">
        <v>47</v>
      </c>
      <c r="F56" t="str">
        <f>IF(COUNTIF(tbl_SeqLib[Barcode],tbl_SeqLib[[#This Row],[Barcode]])&gt;1,"DUPLICATE","")</f>
        <v/>
      </c>
    </row>
    <row r="57" spans="1:6" ht="15.75" customHeight="1" thickBot="1" x14ac:dyDescent="0.25">
      <c r="A57" s="16" t="s">
        <v>53</v>
      </c>
      <c r="B57" s="4"/>
      <c r="C57" s="4"/>
      <c r="D57" s="20"/>
      <c r="E57" s="31">
        <v>48</v>
      </c>
      <c r="F57" t="str">
        <f>IF(COUNTIF(tbl_SeqLib[Barcode],tbl_SeqLib[[#This Row],[Barcode]])&gt;1,"DUPLICATE","")</f>
        <v/>
      </c>
    </row>
    <row r="58" spans="1:6" ht="15.75" customHeight="1" x14ac:dyDescent="0.2">
      <c r="A58" s="14" t="s">
        <v>54</v>
      </c>
      <c r="B58" s="3"/>
      <c r="C58" s="3"/>
      <c r="D58" s="18"/>
      <c r="E58" s="29">
        <v>49</v>
      </c>
      <c r="F58" t="str">
        <f>IF(COUNTIF(tbl_SeqLib[Barcode],tbl_SeqLib[[#This Row],[Barcode]])&gt;1,"DUPLICATE","")</f>
        <v/>
      </c>
    </row>
    <row r="59" spans="1:6" ht="15.75" customHeight="1" x14ac:dyDescent="0.2">
      <c r="A59" s="15" t="s">
        <v>55</v>
      </c>
      <c r="B59" s="2"/>
      <c r="C59" s="2"/>
      <c r="D59" s="19"/>
      <c r="E59" s="30">
        <v>50</v>
      </c>
      <c r="F59" t="str">
        <f>IF(COUNTIF(tbl_SeqLib[Barcode],tbl_SeqLib[[#This Row],[Barcode]])&gt;1,"DUPLICATE","")</f>
        <v/>
      </c>
    </row>
    <row r="60" spans="1:6" ht="15.75" customHeight="1" x14ac:dyDescent="0.2">
      <c r="A60" s="15" t="s">
        <v>56</v>
      </c>
      <c r="B60" s="2"/>
      <c r="C60" s="2"/>
      <c r="D60" s="19"/>
      <c r="E60" s="30">
        <v>51</v>
      </c>
      <c r="F60" t="str">
        <f>IF(COUNTIF(tbl_SeqLib[Barcode],tbl_SeqLib[[#This Row],[Barcode]])&gt;1,"DUPLICATE","")</f>
        <v/>
      </c>
    </row>
    <row r="61" spans="1:6" ht="15.75" customHeight="1" x14ac:dyDescent="0.2">
      <c r="A61" s="15" t="s">
        <v>57</v>
      </c>
      <c r="B61" s="2"/>
      <c r="C61" s="2"/>
      <c r="D61" s="19"/>
      <c r="E61" s="30">
        <v>52</v>
      </c>
      <c r="F61" t="str">
        <f>IF(COUNTIF(tbl_SeqLib[Barcode],tbl_SeqLib[[#This Row],[Barcode]])&gt;1,"DUPLICATE","")</f>
        <v/>
      </c>
    </row>
    <row r="62" spans="1:6" ht="15.75" customHeight="1" x14ac:dyDescent="0.2">
      <c r="A62" s="15" t="s">
        <v>58</v>
      </c>
      <c r="B62" s="2"/>
      <c r="C62" s="2"/>
      <c r="D62" s="19"/>
      <c r="E62" s="30">
        <v>53</v>
      </c>
      <c r="F62" t="str">
        <f>IF(COUNTIF(tbl_SeqLib[Barcode],tbl_SeqLib[[#This Row],[Barcode]])&gt;1,"DUPLICATE","")</f>
        <v/>
      </c>
    </row>
    <row r="63" spans="1:6" ht="15.75" customHeight="1" x14ac:dyDescent="0.2">
      <c r="A63" s="15" t="s">
        <v>59</v>
      </c>
      <c r="B63" s="2"/>
      <c r="C63" s="2"/>
      <c r="D63" s="19"/>
      <c r="E63" s="30">
        <v>54</v>
      </c>
      <c r="F63" t="str">
        <f>IF(COUNTIF(tbl_SeqLib[Barcode],tbl_SeqLib[[#This Row],[Barcode]])&gt;1,"DUPLICATE","")</f>
        <v/>
      </c>
    </row>
    <row r="64" spans="1:6" ht="15.75" customHeight="1" x14ac:dyDescent="0.2">
      <c r="A64" s="15" t="s">
        <v>60</v>
      </c>
      <c r="B64" s="2"/>
      <c r="C64" s="2"/>
      <c r="D64" s="19"/>
      <c r="E64" s="30">
        <v>55</v>
      </c>
      <c r="F64" t="str">
        <f>IF(COUNTIF(tbl_SeqLib[Barcode],tbl_SeqLib[[#This Row],[Barcode]])&gt;1,"DUPLICATE","")</f>
        <v/>
      </c>
    </row>
    <row r="65" spans="1:6" ht="15.75" customHeight="1" thickBot="1" x14ac:dyDescent="0.25">
      <c r="A65" s="16" t="s">
        <v>61</v>
      </c>
      <c r="B65" s="4"/>
      <c r="C65" s="4"/>
      <c r="D65" s="20"/>
      <c r="E65" s="31">
        <v>56</v>
      </c>
      <c r="F65" t="str">
        <f>IF(COUNTIF(tbl_SeqLib[Barcode],tbl_SeqLib[[#This Row],[Barcode]])&gt;1,"DUPLICATE","")</f>
        <v/>
      </c>
    </row>
    <row r="66" spans="1:6" ht="15.75" customHeight="1" x14ac:dyDescent="0.2">
      <c r="A66" s="14" t="s">
        <v>62</v>
      </c>
      <c r="B66" s="3"/>
      <c r="C66" s="3"/>
      <c r="D66" s="18"/>
      <c r="E66" s="29">
        <v>57</v>
      </c>
      <c r="F66" t="str">
        <f>IF(COUNTIF(tbl_SeqLib[Barcode],tbl_SeqLib[[#This Row],[Barcode]])&gt;1,"DUPLICATE","")</f>
        <v/>
      </c>
    </row>
    <row r="67" spans="1:6" ht="15.75" customHeight="1" x14ac:dyDescent="0.2">
      <c r="A67" s="15" t="s">
        <v>63</v>
      </c>
      <c r="B67" s="2"/>
      <c r="C67" s="2"/>
      <c r="D67" s="19"/>
      <c r="E67" s="30">
        <v>58</v>
      </c>
      <c r="F67" t="str">
        <f>IF(COUNTIF(tbl_SeqLib[Barcode],tbl_SeqLib[[#This Row],[Barcode]])&gt;1,"DUPLICATE","")</f>
        <v/>
      </c>
    </row>
    <row r="68" spans="1:6" ht="15.75" customHeight="1" x14ac:dyDescent="0.2">
      <c r="A68" s="15" t="s">
        <v>64</v>
      </c>
      <c r="B68" s="2"/>
      <c r="C68" s="2"/>
      <c r="D68" s="19"/>
      <c r="E68" s="30">
        <v>59</v>
      </c>
      <c r="F68" t="str">
        <f>IF(COUNTIF(tbl_SeqLib[Barcode],tbl_SeqLib[[#This Row],[Barcode]])&gt;1,"DUPLICATE","")</f>
        <v/>
      </c>
    </row>
    <row r="69" spans="1:6" ht="15.75" customHeight="1" x14ac:dyDescent="0.2">
      <c r="A69" s="15" t="s">
        <v>65</v>
      </c>
      <c r="B69" s="2"/>
      <c r="C69" s="2"/>
      <c r="D69" s="19"/>
      <c r="E69" s="30">
        <v>60</v>
      </c>
      <c r="F69" t="str">
        <f>IF(COUNTIF(tbl_SeqLib[Barcode],tbl_SeqLib[[#This Row],[Barcode]])&gt;1,"DUPLICATE","")</f>
        <v/>
      </c>
    </row>
    <row r="70" spans="1:6" ht="15.75" customHeight="1" x14ac:dyDescent="0.2">
      <c r="A70" s="15" t="s">
        <v>66</v>
      </c>
      <c r="B70" s="2"/>
      <c r="C70" s="2"/>
      <c r="D70" s="19"/>
      <c r="E70" s="30">
        <v>61</v>
      </c>
      <c r="F70" t="str">
        <f>IF(COUNTIF(tbl_SeqLib[Barcode],tbl_SeqLib[[#This Row],[Barcode]])&gt;1,"DUPLICATE","")</f>
        <v/>
      </c>
    </row>
    <row r="71" spans="1:6" ht="15.75" customHeight="1" x14ac:dyDescent="0.2">
      <c r="A71" s="15" t="s">
        <v>67</v>
      </c>
      <c r="B71" s="2"/>
      <c r="C71" s="2"/>
      <c r="D71" s="19"/>
      <c r="E71" s="30">
        <v>62</v>
      </c>
      <c r="F71" t="str">
        <f>IF(COUNTIF(tbl_SeqLib[Barcode],tbl_SeqLib[[#This Row],[Barcode]])&gt;1,"DUPLICATE","")</f>
        <v/>
      </c>
    </row>
    <row r="72" spans="1:6" ht="15.75" customHeight="1" x14ac:dyDescent="0.2">
      <c r="A72" s="15" t="s">
        <v>68</v>
      </c>
      <c r="B72" s="2"/>
      <c r="C72" s="2"/>
      <c r="D72" s="19"/>
      <c r="E72" s="30">
        <v>63</v>
      </c>
      <c r="F72" t="str">
        <f>IF(COUNTIF(tbl_SeqLib[Barcode],tbl_SeqLib[[#This Row],[Barcode]])&gt;1,"DUPLICATE","")</f>
        <v/>
      </c>
    </row>
    <row r="73" spans="1:6" ht="15.75" customHeight="1" thickBot="1" x14ac:dyDescent="0.25">
      <c r="A73" s="16" t="s">
        <v>69</v>
      </c>
      <c r="B73" s="4"/>
      <c r="C73" s="4"/>
      <c r="D73" s="20"/>
      <c r="E73" s="31">
        <v>64</v>
      </c>
      <c r="F73" t="str">
        <f>IF(COUNTIF(tbl_SeqLib[Barcode],tbl_SeqLib[[#This Row],[Barcode]])&gt;1,"DUPLICATE","")</f>
        <v/>
      </c>
    </row>
    <row r="74" spans="1:6" ht="15.75" customHeight="1" x14ac:dyDescent="0.2">
      <c r="A74" s="14" t="s">
        <v>70</v>
      </c>
      <c r="B74" s="3"/>
      <c r="C74" s="3"/>
      <c r="D74" s="18"/>
      <c r="E74" s="29">
        <v>65</v>
      </c>
      <c r="F74" t="str">
        <f>IF(COUNTIF(tbl_SeqLib[Barcode],tbl_SeqLib[[#This Row],[Barcode]])&gt;1,"DUPLICATE","")</f>
        <v/>
      </c>
    </row>
    <row r="75" spans="1:6" ht="15.75" customHeight="1" x14ac:dyDescent="0.2">
      <c r="A75" s="15" t="s">
        <v>71</v>
      </c>
      <c r="B75" s="2"/>
      <c r="C75" s="2"/>
      <c r="D75" s="19"/>
      <c r="E75" s="30">
        <v>66</v>
      </c>
      <c r="F75" t="str">
        <f>IF(COUNTIF(tbl_SeqLib[Barcode],tbl_SeqLib[[#This Row],[Barcode]])&gt;1,"DUPLICATE","")</f>
        <v/>
      </c>
    </row>
    <row r="76" spans="1:6" ht="15.75" customHeight="1" x14ac:dyDescent="0.2">
      <c r="A76" s="15" t="s">
        <v>72</v>
      </c>
      <c r="B76" s="2"/>
      <c r="C76" s="2"/>
      <c r="D76" s="19"/>
      <c r="E76" s="30">
        <v>67</v>
      </c>
      <c r="F76" t="str">
        <f>IF(COUNTIF(tbl_SeqLib[Barcode],tbl_SeqLib[[#This Row],[Barcode]])&gt;1,"DUPLICATE","")</f>
        <v/>
      </c>
    </row>
    <row r="77" spans="1:6" ht="15.75" customHeight="1" x14ac:dyDescent="0.2">
      <c r="A77" s="15" t="s">
        <v>73</v>
      </c>
      <c r="B77" s="2"/>
      <c r="C77" s="2"/>
      <c r="D77" s="19"/>
      <c r="E77" s="30">
        <v>68</v>
      </c>
      <c r="F77" t="str">
        <f>IF(COUNTIF(tbl_SeqLib[Barcode],tbl_SeqLib[[#This Row],[Barcode]])&gt;1,"DUPLICATE","")</f>
        <v/>
      </c>
    </row>
    <row r="78" spans="1:6" ht="15.75" customHeight="1" x14ac:dyDescent="0.2">
      <c r="A78" s="15" t="s">
        <v>74</v>
      </c>
      <c r="B78" s="2"/>
      <c r="C78" s="2"/>
      <c r="D78" s="19"/>
      <c r="E78" s="30">
        <v>69</v>
      </c>
      <c r="F78" t="str">
        <f>IF(COUNTIF(tbl_SeqLib[Barcode],tbl_SeqLib[[#This Row],[Barcode]])&gt;1,"DUPLICATE","")</f>
        <v/>
      </c>
    </row>
    <row r="79" spans="1:6" ht="15.75" customHeight="1" x14ac:dyDescent="0.2">
      <c r="A79" s="15" t="s">
        <v>75</v>
      </c>
      <c r="B79" s="2"/>
      <c r="C79" s="2"/>
      <c r="D79" s="19"/>
      <c r="E79" s="30">
        <v>70</v>
      </c>
      <c r="F79" t="str">
        <f>IF(COUNTIF(tbl_SeqLib[Barcode],tbl_SeqLib[[#This Row],[Barcode]])&gt;1,"DUPLICATE","")</f>
        <v/>
      </c>
    </row>
    <row r="80" spans="1:6" ht="15.75" customHeight="1" x14ac:dyDescent="0.2">
      <c r="A80" s="15" t="s">
        <v>76</v>
      </c>
      <c r="B80" s="2"/>
      <c r="C80" s="2"/>
      <c r="D80" s="19"/>
      <c r="E80" s="30">
        <v>71</v>
      </c>
      <c r="F80" t="str">
        <f>IF(COUNTIF(tbl_SeqLib[Barcode],tbl_SeqLib[[#This Row],[Barcode]])&gt;1,"DUPLICATE","")</f>
        <v/>
      </c>
    </row>
    <row r="81" spans="1:6" ht="15.75" customHeight="1" thickBot="1" x14ac:dyDescent="0.25">
      <c r="A81" s="16" t="s">
        <v>77</v>
      </c>
      <c r="B81" s="4"/>
      <c r="C81" s="4"/>
      <c r="D81" s="20"/>
      <c r="E81" s="31">
        <v>72</v>
      </c>
      <c r="F81" t="str">
        <f>IF(COUNTIF(tbl_SeqLib[Barcode],tbl_SeqLib[[#This Row],[Barcode]])&gt;1,"DUPLICATE","")</f>
        <v/>
      </c>
    </row>
    <row r="82" spans="1:6" ht="15.75" customHeight="1" x14ac:dyDescent="0.2">
      <c r="A82" s="14" t="s">
        <v>78</v>
      </c>
      <c r="B82" s="3"/>
      <c r="C82" s="3"/>
      <c r="D82" s="18"/>
      <c r="E82" s="29">
        <v>73</v>
      </c>
      <c r="F82" t="str">
        <f>IF(COUNTIF(tbl_SeqLib[Barcode],tbl_SeqLib[[#This Row],[Barcode]])&gt;1,"DUPLICATE","")</f>
        <v/>
      </c>
    </row>
    <row r="83" spans="1:6" ht="15.75" customHeight="1" x14ac:dyDescent="0.2">
      <c r="A83" s="15" t="s">
        <v>79</v>
      </c>
      <c r="B83" s="2"/>
      <c r="C83" s="2"/>
      <c r="D83" s="19"/>
      <c r="E83" s="30">
        <v>74</v>
      </c>
      <c r="F83" t="str">
        <f>IF(COUNTIF(tbl_SeqLib[Barcode],tbl_SeqLib[[#This Row],[Barcode]])&gt;1,"DUPLICATE","")</f>
        <v/>
      </c>
    </row>
    <row r="84" spans="1:6" ht="15.75" customHeight="1" x14ac:dyDescent="0.2">
      <c r="A84" s="15" t="s">
        <v>80</v>
      </c>
      <c r="B84" s="2"/>
      <c r="C84" s="2"/>
      <c r="D84" s="19"/>
      <c r="E84" s="30">
        <v>75</v>
      </c>
      <c r="F84" t="str">
        <f>IF(COUNTIF(tbl_SeqLib[Barcode],tbl_SeqLib[[#This Row],[Barcode]])&gt;1,"DUPLICATE","")</f>
        <v/>
      </c>
    </row>
    <row r="85" spans="1:6" ht="15.75" customHeight="1" x14ac:dyDescent="0.2">
      <c r="A85" s="15" t="s">
        <v>81</v>
      </c>
      <c r="B85" s="2"/>
      <c r="C85" s="2"/>
      <c r="D85" s="19"/>
      <c r="E85" s="30">
        <v>76</v>
      </c>
      <c r="F85" t="str">
        <f>IF(COUNTIF(tbl_SeqLib[Barcode],tbl_SeqLib[[#This Row],[Barcode]])&gt;1,"DUPLICATE","")</f>
        <v/>
      </c>
    </row>
    <row r="86" spans="1:6" ht="15.75" customHeight="1" x14ac:dyDescent="0.2">
      <c r="A86" s="15" t="s">
        <v>82</v>
      </c>
      <c r="B86" s="2"/>
      <c r="C86" s="2"/>
      <c r="D86" s="19"/>
      <c r="E86" s="30">
        <v>77</v>
      </c>
      <c r="F86" t="str">
        <f>IF(COUNTIF(tbl_SeqLib[Barcode],tbl_SeqLib[[#This Row],[Barcode]])&gt;1,"DUPLICATE","")</f>
        <v/>
      </c>
    </row>
    <row r="87" spans="1:6" ht="15.75" customHeight="1" x14ac:dyDescent="0.2">
      <c r="A87" s="15" t="s">
        <v>83</v>
      </c>
      <c r="B87" s="2"/>
      <c r="C87" s="2"/>
      <c r="D87" s="19"/>
      <c r="E87" s="30">
        <v>78</v>
      </c>
      <c r="F87" t="str">
        <f>IF(COUNTIF(tbl_SeqLib[Barcode],tbl_SeqLib[[#This Row],[Barcode]])&gt;1,"DUPLICATE","")</f>
        <v/>
      </c>
    </row>
    <row r="88" spans="1:6" ht="15.75" customHeight="1" x14ac:dyDescent="0.2">
      <c r="A88" s="15" t="s">
        <v>84</v>
      </c>
      <c r="B88" s="2"/>
      <c r="C88" s="2"/>
      <c r="D88" s="19"/>
      <c r="E88" s="30">
        <v>79</v>
      </c>
      <c r="F88" t="str">
        <f>IF(COUNTIF(tbl_SeqLib[Barcode],tbl_SeqLib[[#This Row],[Barcode]])&gt;1,"DUPLICATE","")</f>
        <v/>
      </c>
    </row>
    <row r="89" spans="1:6" ht="15.75" customHeight="1" thickBot="1" x14ac:dyDescent="0.25">
      <c r="A89" s="16" t="s">
        <v>85</v>
      </c>
      <c r="B89" s="4"/>
      <c r="C89" s="4"/>
      <c r="D89" s="20"/>
      <c r="E89" s="31">
        <v>80</v>
      </c>
      <c r="F89" t="str">
        <f>IF(COUNTIF(tbl_SeqLib[Barcode],tbl_SeqLib[[#This Row],[Barcode]])&gt;1,"DUPLICATE","")</f>
        <v/>
      </c>
    </row>
    <row r="90" spans="1:6" ht="15.75" customHeight="1" x14ac:dyDescent="0.2">
      <c r="A90" s="14" t="s">
        <v>86</v>
      </c>
      <c r="B90" s="3"/>
      <c r="C90" s="3"/>
      <c r="D90" s="18"/>
      <c r="E90" s="29">
        <v>81</v>
      </c>
      <c r="F90" t="str">
        <f>IF(COUNTIF(tbl_SeqLib[Barcode],tbl_SeqLib[[#This Row],[Barcode]])&gt;1,"DUPLICATE","")</f>
        <v/>
      </c>
    </row>
    <row r="91" spans="1:6" ht="15.75" customHeight="1" x14ac:dyDescent="0.2">
      <c r="A91" s="15" t="s">
        <v>87</v>
      </c>
      <c r="B91" s="2"/>
      <c r="C91" s="2"/>
      <c r="D91" s="19"/>
      <c r="E91" s="30">
        <v>82</v>
      </c>
      <c r="F91" t="str">
        <f>IF(COUNTIF(tbl_SeqLib[Barcode],tbl_SeqLib[[#This Row],[Barcode]])&gt;1,"DUPLICATE","")</f>
        <v/>
      </c>
    </row>
    <row r="92" spans="1:6" ht="15.75" customHeight="1" x14ac:dyDescent="0.2">
      <c r="A92" s="15" t="s">
        <v>88</v>
      </c>
      <c r="B92" s="2"/>
      <c r="C92" s="2"/>
      <c r="D92" s="19"/>
      <c r="E92" s="30">
        <v>83</v>
      </c>
      <c r="F92" t="str">
        <f>IF(COUNTIF(tbl_SeqLib[Barcode],tbl_SeqLib[[#This Row],[Barcode]])&gt;1,"DUPLICATE","")</f>
        <v/>
      </c>
    </row>
    <row r="93" spans="1:6" ht="15.75" customHeight="1" x14ac:dyDescent="0.2">
      <c r="A93" s="15" t="s">
        <v>89</v>
      </c>
      <c r="B93" s="2"/>
      <c r="C93" s="2"/>
      <c r="D93" s="19"/>
      <c r="E93" s="30">
        <v>84</v>
      </c>
      <c r="F93" t="str">
        <f>IF(COUNTIF(tbl_SeqLib[Barcode],tbl_SeqLib[[#This Row],[Barcode]])&gt;1,"DUPLICATE","")</f>
        <v/>
      </c>
    </row>
    <row r="94" spans="1:6" ht="15.75" customHeight="1" x14ac:dyDescent="0.2">
      <c r="A94" s="15" t="s">
        <v>90</v>
      </c>
      <c r="B94" s="2"/>
      <c r="C94" s="2"/>
      <c r="D94" s="19"/>
      <c r="E94" s="30">
        <v>85</v>
      </c>
      <c r="F94" t="str">
        <f>IF(COUNTIF(tbl_SeqLib[Barcode],tbl_SeqLib[[#This Row],[Barcode]])&gt;1,"DUPLICATE","")</f>
        <v/>
      </c>
    </row>
    <row r="95" spans="1:6" ht="15.75" customHeight="1" x14ac:dyDescent="0.2">
      <c r="A95" s="15" t="s">
        <v>91</v>
      </c>
      <c r="B95" s="2"/>
      <c r="C95" s="2"/>
      <c r="D95" s="19"/>
      <c r="E95" s="30">
        <v>86</v>
      </c>
      <c r="F95" t="str">
        <f>IF(COUNTIF(tbl_SeqLib[Barcode],tbl_SeqLib[[#This Row],[Barcode]])&gt;1,"DUPLICATE","")</f>
        <v/>
      </c>
    </row>
    <row r="96" spans="1:6" ht="15.75" customHeight="1" x14ac:dyDescent="0.2">
      <c r="A96" s="15" t="s">
        <v>92</v>
      </c>
      <c r="B96" s="2"/>
      <c r="C96" s="2"/>
      <c r="D96" s="19"/>
      <c r="E96" s="30">
        <v>87</v>
      </c>
      <c r="F96" t="str">
        <f>IF(COUNTIF(tbl_SeqLib[Barcode],tbl_SeqLib[[#This Row],[Barcode]])&gt;1,"DUPLICATE","")</f>
        <v/>
      </c>
    </row>
    <row r="97" spans="1:6" ht="15.75" customHeight="1" thickBot="1" x14ac:dyDescent="0.25">
      <c r="A97" s="16" t="s">
        <v>93</v>
      </c>
      <c r="B97" s="4"/>
      <c r="C97" s="4"/>
      <c r="D97" s="20"/>
      <c r="E97" s="31">
        <v>88</v>
      </c>
      <c r="F97" t="str">
        <f>IF(COUNTIF(tbl_SeqLib[Barcode],tbl_SeqLib[[#This Row],[Barcode]])&gt;1,"DUPLICATE","")</f>
        <v/>
      </c>
    </row>
    <row r="98" spans="1:6" ht="15.75" customHeight="1" x14ac:dyDescent="0.2">
      <c r="A98" s="14" t="s">
        <v>94</v>
      </c>
      <c r="B98" s="3"/>
      <c r="C98" s="3"/>
      <c r="D98" s="18"/>
      <c r="E98" s="29">
        <v>89</v>
      </c>
      <c r="F98" t="str">
        <f>IF(COUNTIF(tbl_SeqLib[Barcode],tbl_SeqLib[[#This Row],[Barcode]])&gt;1,"DUPLICATE","")</f>
        <v/>
      </c>
    </row>
    <row r="99" spans="1:6" ht="15.75" customHeight="1" x14ac:dyDescent="0.2">
      <c r="A99" s="15" t="s">
        <v>95</v>
      </c>
      <c r="B99" s="2"/>
      <c r="C99" s="2"/>
      <c r="D99" s="19"/>
      <c r="E99" s="30">
        <v>90</v>
      </c>
      <c r="F99" t="str">
        <f>IF(COUNTIF(tbl_SeqLib[Barcode],tbl_SeqLib[[#This Row],[Barcode]])&gt;1,"DUPLICATE","")</f>
        <v/>
      </c>
    </row>
    <row r="100" spans="1:6" ht="15.75" customHeight="1" x14ac:dyDescent="0.2">
      <c r="A100" s="15" t="s">
        <v>96</v>
      </c>
      <c r="B100" s="2"/>
      <c r="C100" s="2"/>
      <c r="D100" s="19"/>
      <c r="E100" s="30">
        <v>91</v>
      </c>
      <c r="F100" t="str">
        <f>IF(COUNTIF(tbl_SeqLib[Barcode],tbl_SeqLib[[#This Row],[Barcode]])&gt;1,"DUPLICATE","")</f>
        <v/>
      </c>
    </row>
    <row r="101" spans="1:6" ht="15.75" customHeight="1" x14ac:dyDescent="0.2">
      <c r="A101" s="15" t="s">
        <v>97</v>
      </c>
      <c r="B101" s="2"/>
      <c r="C101" s="2"/>
      <c r="D101" s="19"/>
      <c r="E101" s="30">
        <v>92</v>
      </c>
      <c r="F101" t="str">
        <f>IF(COUNTIF(tbl_SeqLib[Barcode],tbl_SeqLib[[#This Row],[Barcode]])&gt;1,"DUPLICATE","")</f>
        <v/>
      </c>
    </row>
    <row r="102" spans="1:6" ht="15.75" customHeight="1" x14ac:dyDescent="0.2">
      <c r="A102" s="15" t="s">
        <v>98</v>
      </c>
      <c r="B102" s="2"/>
      <c r="C102" s="2"/>
      <c r="D102" s="19"/>
      <c r="E102" s="30">
        <v>93</v>
      </c>
      <c r="F102" t="str">
        <f>IF(COUNTIF(tbl_SeqLib[Barcode],tbl_SeqLib[[#This Row],[Barcode]])&gt;1,"DUPLICATE","")</f>
        <v/>
      </c>
    </row>
    <row r="103" spans="1:6" ht="15.75" customHeight="1" x14ac:dyDescent="0.2">
      <c r="A103" s="15" t="s">
        <v>99</v>
      </c>
      <c r="B103" s="2"/>
      <c r="C103" s="2"/>
      <c r="D103" s="19"/>
      <c r="E103" s="30">
        <v>94</v>
      </c>
      <c r="F103" t="str">
        <f>IF(COUNTIF(tbl_SeqLib[Barcode],tbl_SeqLib[[#This Row],[Barcode]])&gt;1,"DUPLICATE","")</f>
        <v/>
      </c>
    </row>
    <row r="104" spans="1:6" ht="15.75" customHeight="1" x14ac:dyDescent="0.2">
      <c r="A104" s="15" t="s">
        <v>100</v>
      </c>
      <c r="B104" s="2"/>
      <c r="C104" s="2"/>
      <c r="D104" s="19"/>
      <c r="E104" s="30">
        <v>95</v>
      </c>
      <c r="F104" t="str">
        <f>IF(COUNTIF(tbl_SeqLib[Barcode],tbl_SeqLib[[#This Row],[Barcode]])&gt;1,"DUPLICATE","")</f>
        <v/>
      </c>
    </row>
    <row r="105" spans="1:6" ht="15.75" customHeight="1" thickBot="1" x14ac:dyDescent="0.25">
      <c r="A105" s="16" t="s">
        <v>101</v>
      </c>
      <c r="B105" s="4"/>
      <c r="C105" s="4"/>
      <c r="D105" s="20"/>
      <c r="E105" s="31">
        <v>96</v>
      </c>
      <c r="F105" t="str">
        <f>IF(COUNTIF(tbl_SeqLib[Barcode],tbl_SeqLib[[#This Row],[Barcode]])&gt;1,"DUPLICATE","")</f>
        <v/>
      </c>
    </row>
    <row r="106" spans="1:6" ht="15.75" customHeight="1" x14ac:dyDescent="0.2">
      <c r="A106" s="9"/>
      <c r="B106" s="9"/>
      <c r="C106" s="9"/>
      <c r="D106" s="9"/>
      <c r="E106" s="9"/>
      <c r="F106" s="9"/>
    </row>
    <row r="107" spans="1:6" ht="15.75" customHeight="1" x14ac:dyDescent="0.2">
      <c r="A107" s="9"/>
      <c r="B107" s="9"/>
      <c r="C107" s="9"/>
      <c r="D107" s="9"/>
      <c r="E107" s="9"/>
      <c r="F107" s="9"/>
    </row>
    <row r="108" spans="1:6" x14ac:dyDescent="0.2">
      <c r="A108" s="9"/>
      <c r="B108" s="9"/>
      <c r="C108" s="9"/>
      <c r="D108" s="9"/>
      <c r="E108" s="9"/>
      <c r="F108" s="9"/>
    </row>
    <row r="109" spans="1:6" x14ac:dyDescent="0.2">
      <c r="A109" s="9"/>
      <c r="B109" s="9"/>
      <c r="C109" s="9"/>
      <c r="D109" s="9"/>
      <c r="E109" s="9"/>
      <c r="F109" s="9"/>
    </row>
    <row r="110" spans="1:6" x14ac:dyDescent="0.2">
      <c r="A110" s="9"/>
      <c r="B110" s="9"/>
      <c r="C110" s="9"/>
      <c r="D110" s="9"/>
      <c r="E110" s="9"/>
      <c r="F110" s="9"/>
    </row>
    <row r="111" spans="1:6" x14ac:dyDescent="0.2">
      <c r="A111" s="9"/>
      <c r="B111" s="9"/>
      <c r="C111" s="9"/>
      <c r="D111" s="9"/>
      <c r="E111" s="9"/>
      <c r="F111" s="9"/>
    </row>
    <row r="112" spans="1:6" x14ac:dyDescent="0.2">
      <c r="A112" s="9"/>
      <c r="B112" s="9"/>
      <c r="C112" s="9"/>
      <c r="D112" s="9"/>
      <c r="E112" s="9"/>
      <c r="F112" s="9"/>
    </row>
    <row r="113" spans="1:6" x14ac:dyDescent="0.2">
      <c r="A113" s="9"/>
      <c r="B113" s="9"/>
      <c r="C113" s="9"/>
      <c r="D113" s="9"/>
      <c r="E113" s="9"/>
      <c r="F113" s="9"/>
    </row>
    <row r="114" spans="1:6" x14ac:dyDescent="0.2">
      <c r="A114" s="9"/>
      <c r="B114" s="9"/>
      <c r="C114" s="9"/>
      <c r="D114" s="9"/>
      <c r="E114" s="9"/>
      <c r="F114" s="9"/>
    </row>
    <row r="115" spans="1:6" x14ac:dyDescent="0.2">
      <c r="A115" s="9"/>
      <c r="B115" s="9"/>
      <c r="C115" s="9"/>
      <c r="D115" s="9"/>
      <c r="E115" s="9"/>
      <c r="F115" s="9"/>
    </row>
  </sheetData>
  <mergeCells count="13">
    <mergeCell ref="A6:B6"/>
    <mergeCell ref="A7:B7"/>
    <mergeCell ref="C5:E5"/>
    <mergeCell ref="C6:E6"/>
    <mergeCell ref="C7:E7"/>
    <mergeCell ref="A5:B5"/>
    <mergeCell ref="A3:B3"/>
    <mergeCell ref="A4:B4"/>
    <mergeCell ref="C3:E3"/>
    <mergeCell ref="C4:E4"/>
    <mergeCell ref="A1:F1"/>
    <mergeCell ref="A2:B2"/>
    <mergeCell ref="C2:E2"/>
  </mergeCells>
  <phoneticPr fontId="5" type="noConversion"/>
  <conditionalFormatting sqref="B10:E105">
    <cfRule type="expression" dxfId="5" priority="4" stopIfTrue="1">
      <formula>COUNTIF(B10,"")</formula>
    </cfRule>
  </conditionalFormatting>
  <conditionalFormatting sqref="C2:C6">
    <cfRule type="expression" dxfId="4" priority="3">
      <formula>COUNTIF(C2,"")</formula>
    </cfRule>
  </conditionalFormatting>
  <conditionalFormatting sqref="D10:D105">
    <cfRule type="cellIs" dxfId="3" priority="8" operator="between">
      <formula>0</formula>
      <formula>Post_PCR_DNA_threshold_ngul</formula>
    </cfRule>
    <cfRule type="cellIs" dxfId="2" priority="9" operator="greaterThanOrEqual">
      <formula>Post_PCR_DNA_threshold_ngul</formula>
    </cfRule>
  </conditionalFormatting>
  <conditionalFormatting sqref="E10:E105">
    <cfRule type="duplicateValues" dxfId="1" priority="2"/>
  </conditionalFormatting>
  <conditionalFormatting sqref="F10:F105">
    <cfRule type="containsText" dxfId="0" priority="1" operator="containsText" text="Duplicate">
      <formula>NOT(ISERROR(SEARCH("Duplicate",F10)))</formula>
    </cfRule>
  </conditionalFormatting>
  <dataValidations count="8">
    <dataValidation type="textLength" errorStyle="information" operator="greaterThan" allowBlank="1" showErrorMessage="1" error="The sample ID appears to be too short." prompt="Enter the Extraction ID" sqref="B10:B105" xr:uid="{00000000-0002-0000-0100-000000000000}">
      <formula1>3</formula1>
    </dataValidation>
    <dataValidation allowBlank="1" showInputMessage="1" showErrorMessage="1" errorTitle="Incorrect Format" error="Exp Number should be three digits long" sqref="C6 F7:F8" xr:uid="{7F700A24-FACB-40FF-A73D-3494166CE29A}"/>
    <dataValidation allowBlank="1" showInputMessage="1" showErrorMessage="1" errorTitle="Experimental Aim" error="The aim must be 5-20 characters long as it is used to name folders downstream so can not be too verbose." sqref="C6 F7:F8" xr:uid="{9C75F18E-0FA2-45C4-8859-DF7209A58F83}"/>
    <dataValidation type="decimal" allowBlank="1" showInputMessage="1" showErrorMessage="1" errorTitle="Not a Number" error="Please enter a number (decimal or whole) for the post-PCR DNA concentration" sqref="D10:D105" xr:uid="{10D485B7-FF0F-4E67-AF1B-44C96547CAC9}">
      <formula1>0.0000000000000001</formula1>
      <formula2>9999999999</formula2>
    </dataValidation>
    <dataValidation type="textLength" operator="equal" allowBlank="1" showInputMessage="1" showErrorMessage="1" errorTitle="Not a Date" error="Please check your entry and ensure it is a date in the format YYYY-MM-DD e.g. 2024-10-28" sqref="C2:E2" xr:uid="{6948A87B-14F5-4864-A3CB-3A5971E46210}">
      <formula1>10</formula1>
    </dataValidation>
    <dataValidation type="textLength" operator="equal" allowBlank="1" showInputMessage="1" showErrorMessage="1" errorTitle="Incorrect Number of initials" error="Please just enter the first and last name initials e.g. John Smith = JS" sqref="C3:E3" xr:uid="{6E22CD84-505D-440D-BC75-9483B6185E39}">
      <formula1>2</formula1>
    </dataValidation>
    <dataValidation allowBlank="1" showInputMessage="1" errorTitle="Incorrect Format" error="Exp Number should be three digits long" sqref="C5:E5" xr:uid="{49447D3F-5D0C-48FC-AED3-44147C220519}"/>
    <dataValidation type="whole" allowBlank="1" showInputMessage="1" showErrorMessage="1" errorTitle="Unknown Barcode" error="Barcode must be within the range of 1 to 96" sqref="E10:E105" xr:uid="{75260D73-B8AD-4061-93E2-00233DEB0C03}">
      <formula1>1</formula1>
      <formula2>96</formula2>
    </dataValidation>
  </dataValidations>
  <pageMargins left="0.23611111111111099" right="0.23611111111111099" top="0.74791666666666701" bottom="0.74791666666666701" header="0.511811023622047" footer="0.511811023622047"/>
  <pageSetup paperSize="9" scale="43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greaterThan" allowBlank="1" showErrorMessage="1" errorTitle="Sample Type not recognised" error="Please select a sample type from the dropdown" prompt="Enter the Extraction ID" xr:uid="{7C378280-2A34-4AED-90A6-70A77F7BE943}">
          <x14:formula1>
            <xm:f>options!$A$5:$A$7</xm:f>
          </x14:formula1>
          <xm:sqref>C10:C105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CDB9-E504-4544-9644-4019292E193B}">
  <sheetPr>
    <tabColor rgb="FF92D050"/>
  </sheetPr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97"/>
  <sheetViews>
    <sheetView zoomScaleNormal="100" workbookViewId="0">
      <selection activeCell="C3" sqref="C3"/>
    </sheetView>
  </sheetViews>
  <sheetFormatPr baseColWidth="10" defaultColWidth="8.6640625" defaultRowHeight="16" x14ac:dyDescent="0.2"/>
  <cols>
    <col min="1" max="1" width="11.1640625" customWidth="1"/>
    <col min="2" max="3" width="13.6640625" customWidth="1"/>
    <col min="4" max="4" width="30.6640625" customWidth="1"/>
  </cols>
  <sheetData>
    <row r="1" spans="1:4" x14ac:dyDescent="0.2">
      <c r="A1" t="s">
        <v>102</v>
      </c>
      <c r="B1" t="s">
        <v>105</v>
      </c>
      <c r="C1" t="s">
        <v>103</v>
      </c>
      <c r="D1" t="s">
        <v>112</v>
      </c>
    </row>
    <row r="2" spans="1:4" x14ac:dyDescent="0.2">
      <c r="A2" t="str">
        <f>IF(LEN(Library!B10)=0,"",Library!B10)</f>
        <v>3D7 (NB01)</v>
      </c>
      <c r="B2" t="str">
        <f>IF(LEN(Library!C10)=0,"",Library!C10)</f>
        <v>Field</v>
      </c>
      <c r="C2" t="str">
        <f>IF(OR(ISBLANK(Library!E10),ISBLANK(Library!B10)),"",CONCATENATE("barcode",TEXT(Library!E10,"00")))</f>
        <v>barcode01</v>
      </c>
      <c r="D2">
        <f>IF(LEN(Library!D10)=0,"",Library!D10)</f>
        <v>1</v>
      </c>
    </row>
    <row r="3" spans="1:4" x14ac:dyDescent="0.2">
      <c r="A3" t="str">
        <f>IF(LEN(Library!B11)=0,"",Library!B11)</f>
        <v>Dd2 (NB02)</v>
      </c>
      <c r="B3" t="str">
        <f>IF(LEN(Library!C11)=0,"",Library!C11)</f>
        <v>Field</v>
      </c>
      <c r="C3" t="str">
        <f>IF(OR(ISBLANK(Library!E11),ISBLANK(Library!B11)),"",CONCATENATE("barcode",TEXT(Library!E11,"00")))</f>
        <v>barcode02</v>
      </c>
      <c r="D3">
        <f>IF(LEN(Library!D11)=0,"",Library!D11)</f>
        <v>1</v>
      </c>
    </row>
    <row r="4" spans="1:4" x14ac:dyDescent="0.2">
      <c r="A4" t="str">
        <f>IF(LEN(Library!B12)=0,"",Library!B12)</f>
        <v>CamC580Y (NB03)</v>
      </c>
      <c r="B4" t="str">
        <f>IF(LEN(Library!C12)=0,"",Library!C12)</f>
        <v>Field</v>
      </c>
      <c r="C4" t="str">
        <f>IF(OR(ISBLANK(Library!E12),ISBLANK(Library!B12)),"",CONCATENATE("barcode",TEXT(Library!E12,"00")))</f>
        <v>barcode03</v>
      </c>
      <c r="D4">
        <f>IF(LEN(Library!D12)=0,"",Library!D12)</f>
        <v>1</v>
      </c>
    </row>
    <row r="5" spans="1:4" x14ac:dyDescent="0.2">
      <c r="A5" t="str">
        <f>IF(LEN(Library!B13)=0,"",Library!B13)</f>
        <v>GB4 (NB04)</v>
      </c>
      <c r="B5" t="str">
        <f>IF(LEN(Library!C13)=0,"",Library!C13)</f>
        <v>Field</v>
      </c>
      <c r="C5" t="str">
        <f>IF(OR(ISBLANK(Library!E13),ISBLANK(Library!B13)),"",CONCATENATE("barcode",TEXT(Library!E13,"00")))</f>
        <v>barcode04</v>
      </c>
      <c r="D5">
        <f>IF(LEN(Library!D13)=0,"",Library!D13)</f>
        <v>1</v>
      </c>
    </row>
    <row r="6" spans="1:4" x14ac:dyDescent="0.2">
      <c r="A6" t="str">
        <f>IF(LEN(Library!B14)=0,"",Library!B14)</f>
        <v>HB3 (NB05)</v>
      </c>
      <c r="B6" t="str">
        <f>IF(LEN(Library!C14)=0,"",Library!C14)</f>
        <v>Field</v>
      </c>
      <c r="C6" t="str">
        <f>IF(OR(ISBLANK(Library!E14),ISBLANK(Library!B14)),"",CONCATENATE("barcode",TEXT(Library!E14,"00")))</f>
        <v>barcode05</v>
      </c>
      <c r="D6">
        <f>IF(LEN(Library!D14)=0,"",Library!D14)</f>
        <v>1</v>
      </c>
    </row>
    <row r="7" spans="1:4" x14ac:dyDescent="0.2">
      <c r="A7" t="str">
        <f>IF(LEN(Library!B15)=0,"",Library!B15)</f>
        <v/>
      </c>
      <c r="B7" t="str">
        <f>IF(LEN(Library!C15)=0,"",Library!C15)</f>
        <v/>
      </c>
      <c r="C7" t="str">
        <f>IF(OR(ISBLANK(Library!E15),ISBLANK(Library!B15)),"",CONCATENATE("barcode",TEXT(Library!E15,"00")))</f>
        <v/>
      </c>
      <c r="D7" t="str">
        <f>IF(LEN(Library!D15)=0,"",Library!D15)</f>
        <v/>
      </c>
    </row>
    <row r="8" spans="1:4" x14ac:dyDescent="0.2">
      <c r="A8" t="str">
        <f>IF(LEN(Library!B16)=0,"",Library!B16)</f>
        <v/>
      </c>
      <c r="B8" t="str">
        <f>IF(LEN(Library!C16)=0,"",Library!C16)</f>
        <v/>
      </c>
      <c r="C8" t="str">
        <f>IF(OR(ISBLANK(Library!E16),ISBLANK(Library!B16)),"",CONCATENATE("barcode",TEXT(Library!E16,"00")))</f>
        <v/>
      </c>
      <c r="D8" t="str">
        <f>IF(LEN(Library!D16)=0,"",Library!D16)</f>
        <v/>
      </c>
    </row>
    <row r="9" spans="1:4" x14ac:dyDescent="0.2">
      <c r="A9" t="str">
        <f>IF(LEN(Library!B17)=0,"",Library!B17)</f>
        <v/>
      </c>
      <c r="B9" t="str">
        <f>IF(LEN(Library!C17)=0,"",Library!C17)</f>
        <v/>
      </c>
      <c r="C9" t="str">
        <f>IF(OR(ISBLANK(Library!E17),ISBLANK(Library!B17)),"",CONCATENATE("barcode",TEXT(Library!E17,"00")))</f>
        <v/>
      </c>
      <c r="D9" t="str">
        <f>IF(LEN(Library!D17)=0,"",Library!D17)</f>
        <v/>
      </c>
    </row>
    <row r="10" spans="1:4" x14ac:dyDescent="0.2">
      <c r="A10" t="str">
        <f>IF(LEN(Library!B18)=0,"",Library!B18)</f>
        <v/>
      </c>
      <c r="B10" t="str">
        <f>IF(LEN(Library!C18)=0,"",Library!C18)</f>
        <v/>
      </c>
      <c r="C10" t="str">
        <f>IF(OR(ISBLANK(Library!E18),ISBLANK(Library!B18)),"",CONCATENATE("barcode",TEXT(Library!E18,"00")))</f>
        <v/>
      </c>
      <c r="D10" t="str">
        <f>IF(LEN(Library!D18)=0,"",Library!D18)</f>
        <v/>
      </c>
    </row>
    <row r="11" spans="1:4" x14ac:dyDescent="0.2">
      <c r="A11" t="str">
        <f>IF(LEN(Library!B19)=0,"",Library!B19)</f>
        <v/>
      </c>
      <c r="B11" t="str">
        <f>IF(LEN(Library!C19)=0,"",Library!C19)</f>
        <v/>
      </c>
      <c r="C11" t="str">
        <f>IF(OR(ISBLANK(Library!E19),ISBLANK(Library!B19)),"",CONCATENATE("barcode",TEXT(Library!E19,"00")))</f>
        <v/>
      </c>
      <c r="D11" t="str">
        <f>IF(LEN(Library!D19)=0,"",Library!D19)</f>
        <v/>
      </c>
    </row>
    <row r="12" spans="1:4" x14ac:dyDescent="0.2">
      <c r="A12" t="str">
        <f>IF(LEN(Library!B20)=0,"",Library!B20)</f>
        <v/>
      </c>
      <c r="B12" t="str">
        <f>IF(LEN(Library!C20)=0,"",Library!C20)</f>
        <v/>
      </c>
      <c r="C12" t="str">
        <f>IF(OR(ISBLANK(Library!E20),ISBLANK(Library!B20)),"",CONCATENATE("barcode",TEXT(Library!E20,"00")))</f>
        <v/>
      </c>
      <c r="D12" t="str">
        <f>IF(LEN(Library!D20)=0,"",Library!D20)</f>
        <v/>
      </c>
    </row>
    <row r="13" spans="1:4" x14ac:dyDescent="0.2">
      <c r="A13" t="str">
        <f>IF(LEN(Library!B21)=0,"",Library!B21)</f>
        <v/>
      </c>
      <c r="B13" t="str">
        <f>IF(LEN(Library!C21)=0,"",Library!C21)</f>
        <v/>
      </c>
      <c r="C13" t="str">
        <f>IF(OR(ISBLANK(Library!E21),ISBLANK(Library!B21)),"",CONCATENATE("barcode",TEXT(Library!E21,"00")))</f>
        <v/>
      </c>
      <c r="D13" t="str">
        <f>IF(LEN(Library!D21)=0,"",Library!D21)</f>
        <v/>
      </c>
    </row>
    <row r="14" spans="1:4" x14ac:dyDescent="0.2">
      <c r="A14" t="str">
        <f>IF(LEN(Library!B22)=0,"",Library!B22)</f>
        <v/>
      </c>
      <c r="B14" t="str">
        <f>IF(LEN(Library!C22)=0,"",Library!C22)</f>
        <v/>
      </c>
      <c r="C14" t="str">
        <f>IF(OR(ISBLANK(Library!E22),ISBLANK(Library!B22)),"",CONCATENATE("barcode",TEXT(Library!E22,"00")))</f>
        <v/>
      </c>
      <c r="D14" t="str">
        <f>IF(LEN(Library!D22)=0,"",Library!D22)</f>
        <v/>
      </c>
    </row>
    <row r="15" spans="1:4" x14ac:dyDescent="0.2">
      <c r="A15" t="str">
        <f>IF(LEN(Library!B23)=0,"",Library!B23)</f>
        <v/>
      </c>
      <c r="B15" t="str">
        <f>IF(LEN(Library!C23)=0,"",Library!C23)</f>
        <v/>
      </c>
      <c r="C15" t="str">
        <f>IF(OR(ISBLANK(Library!E23),ISBLANK(Library!B23)),"",CONCATENATE("barcode",TEXT(Library!E23,"00")))</f>
        <v/>
      </c>
      <c r="D15" t="str">
        <f>IF(LEN(Library!D23)=0,"",Library!D23)</f>
        <v/>
      </c>
    </row>
    <row r="16" spans="1:4" x14ac:dyDescent="0.2">
      <c r="A16" t="str">
        <f>IF(LEN(Library!B24)=0,"",Library!B24)</f>
        <v/>
      </c>
      <c r="B16" t="str">
        <f>IF(LEN(Library!C24)=0,"",Library!C24)</f>
        <v/>
      </c>
      <c r="C16" t="str">
        <f>IF(OR(ISBLANK(Library!E24),ISBLANK(Library!B24)),"",CONCATENATE("barcode",TEXT(Library!E24,"00")))</f>
        <v/>
      </c>
      <c r="D16" t="str">
        <f>IF(LEN(Library!D24)=0,"",Library!D24)</f>
        <v/>
      </c>
    </row>
    <row r="17" spans="1:4" x14ac:dyDescent="0.2">
      <c r="A17" t="str">
        <f>IF(LEN(Library!B25)=0,"",Library!B25)</f>
        <v/>
      </c>
      <c r="B17" t="str">
        <f>IF(LEN(Library!C25)=0,"",Library!C25)</f>
        <v/>
      </c>
      <c r="C17" t="str">
        <f>IF(OR(ISBLANK(Library!E25),ISBLANK(Library!B25)),"",CONCATENATE("barcode",TEXT(Library!E25,"00")))</f>
        <v/>
      </c>
      <c r="D17" t="str">
        <f>IF(LEN(Library!D25)=0,"",Library!D25)</f>
        <v/>
      </c>
    </row>
    <row r="18" spans="1:4" x14ac:dyDescent="0.2">
      <c r="A18" t="str">
        <f>IF(LEN(Library!B26)=0,"",Library!B26)</f>
        <v/>
      </c>
      <c r="B18" t="str">
        <f>IF(LEN(Library!C26)=0,"",Library!C26)</f>
        <v/>
      </c>
      <c r="C18" t="str">
        <f>IF(OR(ISBLANK(Library!E26),ISBLANK(Library!B26)),"",CONCATENATE("barcode",TEXT(Library!E26,"00")))</f>
        <v/>
      </c>
      <c r="D18" t="str">
        <f>IF(LEN(Library!D26)=0,"",Library!D26)</f>
        <v/>
      </c>
    </row>
    <row r="19" spans="1:4" x14ac:dyDescent="0.2">
      <c r="A19" t="str">
        <f>IF(LEN(Library!B27)=0,"",Library!B27)</f>
        <v/>
      </c>
      <c r="B19" t="str">
        <f>IF(LEN(Library!C27)=0,"",Library!C27)</f>
        <v/>
      </c>
      <c r="C19" t="str">
        <f>IF(OR(ISBLANK(Library!E27),ISBLANK(Library!B27)),"",CONCATENATE("barcode",TEXT(Library!E27,"00")))</f>
        <v/>
      </c>
      <c r="D19" t="str">
        <f>IF(LEN(Library!D27)=0,"",Library!D27)</f>
        <v/>
      </c>
    </row>
    <row r="20" spans="1:4" x14ac:dyDescent="0.2">
      <c r="A20" t="str">
        <f>IF(LEN(Library!B28)=0,"",Library!B28)</f>
        <v/>
      </c>
      <c r="B20" t="str">
        <f>IF(LEN(Library!C28)=0,"",Library!C28)</f>
        <v/>
      </c>
      <c r="C20" t="str">
        <f>IF(OR(ISBLANK(Library!E28),ISBLANK(Library!B28)),"",CONCATENATE("barcode",TEXT(Library!E28,"00")))</f>
        <v/>
      </c>
      <c r="D20" t="str">
        <f>IF(LEN(Library!D28)=0,"",Library!D28)</f>
        <v/>
      </c>
    </row>
    <row r="21" spans="1:4" x14ac:dyDescent="0.2">
      <c r="A21" t="str">
        <f>IF(LEN(Library!B29)=0,"",Library!B29)</f>
        <v/>
      </c>
      <c r="B21" t="str">
        <f>IF(LEN(Library!C29)=0,"",Library!C29)</f>
        <v/>
      </c>
      <c r="C21" t="str">
        <f>IF(OR(ISBLANK(Library!E29),ISBLANK(Library!B29)),"",CONCATENATE("barcode",TEXT(Library!E29,"00")))</f>
        <v/>
      </c>
      <c r="D21" t="str">
        <f>IF(LEN(Library!D29)=0,"",Library!D29)</f>
        <v/>
      </c>
    </row>
    <row r="22" spans="1:4" x14ac:dyDescent="0.2">
      <c r="A22" t="str">
        <f>IF(LEN(Library!B30)=0,"",Library!B30)</f>
        <v/>
      </c>
      <c r="B22" t="str">
        <f>IF(LEN(Library!C30)=0,"",Library!C30)</f>
        <v/>
      </c>
      <c r="C22" t="str">
        <f>IF(OR(ISBLANK(Library!E30),ISBLANK(Library!B30)),"",CONCATENATE("barcode",TEXT(Library!E30,"00")))</f>
        <v/>
      </c>
      <c r="D22" t="str">
        <f>IF(LEN(Library!D30)=0,"",Library!D30)</f>
        <v/>
      </c>
    </row>
    <row r="23" spans="1:4" x14ac:dyDescent="0.2">
      <c r="A23" t="str">
        <f>IF(LEN(Library!B31)=0,"",Library!B31)</f>
        <v/>
      </c>
      <c r="B23" t="str">
        <f>IF(LEN(Library!C31)=0,"",Library!C31)</f>
        <v/>
      </c>
      <c r="C23" t="str">
        <f>IF(OR(ISBLANK(Library!E31),ISBLANK(Library!B31)),"",CONCATENATE("barcode",TEXT(Library!E31,"00")))</f>
        <v/>
      </c>
      <c r="D23" t="str">
        <f>IF(LEN(Library!D31)=0,"",Library!D31)</f>
        <v/>
      </c>
    </row>
    <row r="24" spans="1:4" x14ac:dyDescent="0.2">
      <c r="A24" t="str">
        <f>IF(LEN(Library!B32)=0,"",Library!B32)</f>
        <v/>
      </c>
      <c r="B24" t="str">
        <f>IF(LEN(Library!C32)=0,"",Library!C32)</f>
        <v/>
      </c>
      <c r="C24" t="str">
        <f>IF(OR(ISBLANK(Library!E32),ISBLANK(Library!B32)),"",CONCATENATE("barcode",TEXT(Library!E32,"00")))</f>
        <v/>
      </c>
      <c r="D24" t="str">
        <f>IF(LEN(Library!D32)=0,"",Library!D32)</f>
        <v/>
      </c>
    </row>
    <row r="25" spans="1:4" x14ac:dyDescent="0.2">
      <c r="A25" t="str">
        <f>IF(LEN(Library!B33)=0,"",Library!B33)</f>
        <v/>
      </c>
      <c r="B25" t="str">
        <f>IF(LEN(Library!C33)=0,"",Library!C33)</f>
        <v/>
      </c>
      <c r="C25" t="str">
        <f>IF(OR(ISBLANK(Library!E33),ISBLANK(Library!B33)),"",CONCATENATE("barcode",TEXT(Library!E33,"00")))</f>
        <v/>
      </c>
      <c r="D25" t="str">
        <f>IF(LEN(Library!D33)=0,"",Library!D33)</f>
        <v/>
      </c>
    </row>
    <row r="26" spans="1:4" x14ac:dyDescent="0.2">
      <c r="A26" t="str">
        <f>IF(LEN(Library!B34)=0,"",Library!B34)</f>
        <v/>
      </c>
      <c r="B26" t="str">
        <f>IF(LEN(Library!C34)=0,"",Library!C34)</f>
        <v/>
      </c>
      <c r="C26" t="str">
        <f>IF(OR(ISBLANK(Library!E34),ISBLANK(Library!B34)),"",CONCATENATE("barcode",TEXT(Library!E34,"00")))</f>
        <v/>
      </c>
      <c r="D26" t="str">
        <f>IF(LEN(Library!D34)=0,"",Library!D34)</f>
        <v/>
      </c>
    </row>
    <row r="27" spans="1:4" x14ac:dyDescent="0.2">
      <c r="A27" t="str">
        <f>IF(LEN(Library!B35)=0,"",Library!B35)</f>
        <v/>
      </c>
      <c r="B27" t="str">
        <f>IF(LEN(Library!C35)=0,"",Library!C35)</f>
        <v/>
      </c>
      <c r="C27" t="str">
        <f>IF(OR(ISBLANK(Library!E35),ISBLANK(Library!B35)),"",CONCATENATE("barcode",TEXT(Library!E35,"00")))</f>
        <v/>
      </c>
      <c r="D27" t="str">
        <f>IF(LEN(Library!D35)=0,"",Library!D35)</f>
        <v/>
      </c>
    </row>
    <row r="28" spans="1:4" x14ac:dyDescent="0.2">
      <c r="A28" t="str">
        <f>IF(LEN(Library!B36)=0,"",Library!B36)</f>
        <v/>
      </c>
      <c r="B28" t="str">
        <f>IF(LEN(Library!C36)=0,"",Library!C36)</f>
        <v/>
      </c>
      <c r="C28" t="str">
        <f>IF(OR(ISBLANK(Library!E36),ISBLANK(Library!B36)),"",CONCATENATE("barcode",TEXT(Library!E36,"00")))</f>
        <v/>
      </c>
      <c r="D28" t="str">
        <f>IF(LEN(Library!D36)=0,"",Library!D36)</f>
        <v/>
      </c>
    </row>
    <row r="29" spans="1:4" x14ac:dyDescent="0.2">
      <c r="A29" t="str">
        <f>IF(LEN(Library!B37)=0,"",Library!B37)</f>
        <v/>
      </c>
      <c r="B29" t="str">
        <f>IF(LEN(Library!C37)=0,"",Library!C37)</f>
        <v/>
      </c>
      <c r="C29" t="str">
        <f>IF(OR(ISBLANK(Library!E37),ISBLANK(Library!B37)),"",CONCATENATE("barcode",TEXT(Library!E37,"00")))</f>
        <v/>
      </c>
      <c r="D29" t="str">
        <f>IF(LEN(Library!D37)=0,"",Library!D37)</f>
        <v/>
      </c>
    </row>
    <row r="30" spans="1:4" x14ac:dyDescent="0.2">
      <c r="A30" t="str">
        <f>IF(LEN(Library!B38)=0,"",Library!B38)</f>
        <v/>
      </c>
      <c r="B30" t="str">
        <f>IF(LEN(Library!C38)=0,"",Library!C38)</f>
        <v/>
      </c>
      <c r="C30" t="str">
        <f>IF(OR(ISBLANK(Library!E38),ISBLANK(Library!B38)),"",CONCATENATE("barcode",TEXT(Library!E38,"00")))</f>
        <v/>
      </c>
      <c r="D30" t="str">
        <f>IF(LEN(Library!D38)=0,"",Library!D38)</f>
        <v/>
      </c>
    </row>
    <row r="31" spans="1:4" x14ac:dyDescent="0.2">
      <c r="A31" t="str">
        <f>IF(LEN(Library!B39)=0,"",Library!B39)</f>
        <v/>
      </c>
      <c r="B31" t="str">
        <f>IF(LEN(Library!C39)=0,"",Library!C39)</f>
        <v/>
      </c>
      <c r="C31" t="str">
        <f>IF(OR(ISBLANK(Library!E39),ISBLANK(Library!B39)),"",CONCATENATE("barcode",TEXT(Library!E39,"00")))</f>
        <v/>
      </c>
      <c r="D31" t="str">
        <f>IF(LEN(Library!D39)=0,"",Library!D39)</f>
        <v/>
      </c>
    </row>
    <row r="32" spans="1:4" x14ac:dyDescent="0.2">
      <c r="A32" t="str">
        <f>IF(LEN(Library!B40)=0,"",Library!B40)</f>
        <v/>
      </c>
      <c r="B32" t="str">
        <f>IF(LEN(Library!C40)=0,"",Library!C40)</f>
        <v/>
      </c>
      <c r="C32" t="str">
        <f>IF(OR(ISBLANK(Library!E40),ISBLANK(Library!B40)),"",CONCATENATE("barcode",TEXT(Library!E40,"00")))</f>
        <v/>
      </c>
      <c r="D32" t="str">
        <f>IF(LEN(Library!D40)=0,"",Library!D40)</f>
        <v/>
      </c>
    </row>
    <row r="33" spans="1:4" x14ac:dyDescent="0.2">
      <c r="A33" t="str">
        <f>IF(LEN(Library!B41)=0,"",Library!B41)</f>
        <v/>
      </c>
      <c r="B33" t="str">
        <f>IF(LEN(Library!C41)=0,"",Library!C41)</f>
        <v/>
      </c>
      <c r="C33" t="str">
        <f>IF(OR(ISBLANK(Library!E41),ISBLANK(Library!B41)),"",CONCATENATE("barcode",TEXT(Library!E41,"00")))</f>
        <v/>
      </c>
      <c r="D33" t="str">
        <f>IF(LEN(Library!D41)=0,"",Library!D41)</f>
        <v/>
      </c>
    </row>
    <row r="34" spans="1:4" x14ac:dyDescent="0.2">
      <c r="A34" t="str">
        <f>IF(LEN(Library!B42)=0,"",Library!B42)</f>
        <v/>
      </c>
      <c r="B34" t="str">
        <f>IF(LEN(Library!C42)=0,"",Library!C42)</f>
        <v/>
      </c>
      <c r="C34" t="str">
        <f>IF(OR(ISBLANK(Library!E42),ISBLANK(Library!B42)),"",CONCATENATE("barcode",TEXT(Library!E42,"00")))</f>
        <v/>
      </c>
      <c r="D34" t="str">
        <f>IF(LEN(Library!D42)=0,"",Library!D42)</f>
        <v/>
      </c>
    </row>
    <row r="35" spans="1:4" x14ac:dyDescent="0.2">
      <c r="A35" t="str">
        <f>IF(LEN(Library!B43)=0,"",Library!B43)</f>
        <v/>
      </c>
      <c r="B35" t="str">
        <f>IF(LEN(Library!C43)=0,"",Library!C43)</f>
        <v/>
      </c>
      <c r="C35" t="str">
        <f>IF(OR(ISBLANK(Library!E43),ISBLANK(Library!B43)),"",CONCATENATE("barcode",TEXT(Library!E43,"00")))</f>
        <v/>
      </c>
      <c r="D35" t="str">
        <f>IF(LEN(Library!D43)=0,"",Library!D43)</f>
        <v/>
      </c>
    </row>
    <row r="36" spans="1:4" x14ac:dyDescent="0.2">
      <c r="A36" t="str">
        <f>IF(LEN(Library!B44)=0,"",Library!B44)</f>
        <v/>
      </c>
      <c r="B36" t="str">
        <f>IF(LEN(Library!C44)=0,"",Library!C44)</f>
        <v/>
      </c>
      <c r="C36" t="str">
        <f>IF(OR(ISBLANK(Library!E44),ISBLANK(Library!B44)),"",CONCATENATE("barcode",TEXT(Library!E44,"00")))</f>
        <v/>
      </c>
      <c r="D36" t="str">
        <f>IF(LEN(Library!D44)=0,"",Library!D44)</f>
        <v/>
      </c>
    </row>
    <row r="37" spans="1:4" x14ac:dyDescent="0.2">
      <c r="A37" t="str">
        <f>IF(LEN(Library!B45)=0,"",Library!B45)</f>
        <v/>
      </c>
      <c r="B37" t="str">
        <f>IF(LEN(Library!C45)=0,"",Library!C45)</f>
        <v/>
      </c>
      <c r="C37" t="str">
        <f>IF(OR(ISBLANK(Library!E45),ISBLANK(Library!B45)),"",CONCATENATE("barcode",TEXT(Library!E45,"00")))</f>
        <v/>
      </c>
      <c r="D37" t="str">
        <f>IF(LEN(Library!D45)=0,"",Library!D45)</f>
        <v/>
      </c>
    </row>
    <row r="38" spans="1:4" x14ac:dyDescent="0.2">
      <c r="A38" t="str">
        <f>IF(LEN(Library!B46)=0,"",Library!B46)</f>
        <v/>
      </c>
      <c r="B38" t="str">
        <f>IF(LEN(Library!C46)=0,"",Library!C46)</f>
        <v/>
      </c>
      <c r="C38" t="str">
        <f>IF(OR(ISBLANK(Library!E46),ISBLANK(Library!B46)),"",CONCATENATE("barcode",TEXT(Library!E46,"00")))</f>
        <v/>
      </c>
      <c r="D38" t="str">
        <f>IF(LEN(Library!D46)=0,"",Library!D46)</f>
        <v/>
      </c>
    </row>
    <row r="39" spans="1:4" x14ac:dyDescent="0.2">
      <c r="A39" t="str">
        <f>IF(LEN(Library!B47)=0,"",Library!B47)</f>
        <v/>
      </c>
      <c r="B39" t="str">
        <f>IF(LEN(Library!C47)=0,"",Library!C47)</f>
        <v/>
      </c>
      <c r="C39" t="str">
        <f>IF(OR(ISBLANK(Library!E47),ISBLANK(Library!B47)),"",CONCATENATE("barcode",TEXT(Library!E47,"00")))</f>
        <v/>
      </c>
      <c r="D39" t="str">
        <f>IF(LEN(Library!D47)=0,"",Library!D47)</f>
        <v/>
      </c>
    </row>
    <row r="40" spans="1:4" x14ac:dyDescent="0.2">
      <c r="A40" t="str">
        <f>IF(LEN(Library!B48)=0,"",Library!B48)</f>
        <v/>
      </c>
      <c r="B40" t="str">
        <f>IF(LEN(Library!C48)=0,"",Library!C48)</f>
        <v/>
      </c>
      <c r="C40" t="str">
        <f>IF(OR(ISBLANK(Library!E48),ISBLANK(Library!B48)),"",CONCATENATE("barcode",TEXT(Library!E48,"00")))</f>
        <v/>
      </c>
      <c r="D40" t="str">
        <f>IF(LEN(Library!D48)=0,"",Library!D48)</f>
        <v/>
      </c>
    </row>
    <row r="41" spans="1:4" x14ac:dyDescent="0.2">
      <c r="A41" t="str">
        <f>IF(LEN(Library!B49)=0,"",Library!B49)</f>
        <v/>
      </c>
      <c r="B41" t="str">
        <f>IF(LEN(Library!C49)=0,"",Library!C49)</f>
        <v/>
      </c>
      <c r="C41" t="str">
        <f>IF(OR(ISBLANK(Library!E49),ISBLANK(Library!B49)),"",CONCATENATE("barcode",TEXT(Library!E49,"00")))</f>
        <v/>
      </c>
      <c r="D41" t="str">
        <f>IF(LEN(Library!D49)=0,"",Library!D49)</f>
        <v/>
      </c>
    </row>
    <row r="42" spans="1:4" x14ac:dyDescent="0.2">
      <c r="A42" t="str">
        <f>IF(LEN(Library!B50)=0,"",Library!B50)</f>
        <v/>
      </c>
      <c r="B42" t="str">
        <f>IF(LEN(Library!C50)=0,"",Library!C50)</f>
        <v/>
      </c>
      <c r="C42" t="str">
        <f>IF(OR(ISBLANK(Library!E50),ISBLANK(Library!B50)),"",CONCATENATE("barcode",TEXT(Library!E50,"00")))</f>
        <v/>
      </c>
      <c r="D42" t="str">
        <f>IF(LEN(Library!D50)=0,"",Library!D50)</f>
        <v/>
      </c>
    </row>
    <row r="43" spans="1:4" x14ac:dyDescent="0.2">
      <c r="A43" t="str">
        <f>IF(LEN(Library!B51)=0,"",Library!B51)</f>
        <v/>
      </c>
      <c r="B43" t="str">
        <f>IF(LEN(Library!C51)=0,"",Library!C51)</f>
        <v/>
      </c>
      <c r="C43" t="str">
        <f>IF(OR(ISBLANK(Library!E51),ISBLANK(Library!B51)),"",CONCATENATE("barcode",TEXT(Library!E51,"00")))</f>
        <v/>
      </c>
      <c r="D43" t="str">
        <f>IF(LEN(Library!D51)=0,"",Library!D51)</f>
        <v/>
      </c>
    </row>
    <row r="44" spans="1:4" x14ac:dyDescent="0.2">
      <c r="A44" t="str">
        <f>IF(LEN(Library!B52)=0,"",Library!B52)</f>
        <v/>
      </c>
      <c r="B44" t="str">
        <f>IF(LEN(Library!C52)=0,"",Library!C52)</f>
        <v/>
      </c>
      <c r="C44" t="str">
        <f>IF(OR(ISBLANK(Library!E52),ISBLANK(Library!B52)),"",CONCATENATE("barcode",TEXT(Library!E52,"00")))</f>
        <v/>
      </c>
      <c r="D44" t="str">
        <f>IF(LEN(Library!D52)=0,"",Library!D52)</f>
        <v/>
      </c>
    </row>
    <row r="45" spans="1:4" x14ac:dyDescent="0.2">
      <c r="A45" t="str">
        <f>IF(LEN(Library!B53)=0,"",Library!B53)</f>
        <v/>
      </c>
      <c r="B45" t="str">
        <f>IF(LEN(Library!C53)=0,"",Library!C53)</f>
        <v/>
      </c>
      <c r="C45" t="str">
        <f>IF(OR(ISBLANK(Library!E53),ISBLANK(Library!B53)),"",CONCATENATE("barcode",TEXT(Library!E53,"00")))</f>
        <v/>
      </c>
      <c r="D45" t="str">
        <f>IF(LEN(Library!D53)=0,"",Library!D53)</f>
        <v/>
      </c>
    </row>
    <row r="46" spans="1:4" x14ac:dyDescent="0.2">
      <c r="A46" t="str">
        <f>IF(LEN(Library!B54)=0,"",Library!B54)</f>
        <v/>
      </c>
      <c r="B46" t="str">
        <f>IF(LEN(Library!C54)=0,"",Library!C54)</f>
        <v/>
      </c>
      <c r="C46" t="str">
        <f>IF(OR(ISBLANK(Library!E54),ISBLANK(Library!B54)),"",CONCATENATE("barcode",TEXT(Library!E54,"00")))</f>
        <v/>
      </c>
      <c r="D46" t="str">
        <f>IF(LEN(Library!D54)=0,"",Library!D54)</f>
        <v/>
      </c>
    </row>
    <row r="47" spans="1:4" x14ac:dyDescent="0.2">
      <c r="A47" t="str">
        <f>IF(LEN(Library!B55)=0,"",Library!B55)</f>
        <v/>
      </c>
      <c r="B47" t="str">
        <f>IF(LEN(Library!C55)=0,"",Library!C55)</f>
        <v/>
      </c>
      <c r="C47" t="str">
        <f>IF(OR(ISBLANK(Library!E55),ISBLANK(Library!B55)),"",CONCATENATE("barcode",TEXT(Library!E55,"00")))</f>
        <v/>
      </c>
      <c r="D47" t="str">
        <f>IF(LEN(Library!D55)=0,"",Library!D55)</f>
        <v/>
      </c>
    </row>
    <row r="48" spans="1:4" x14ac:dyDescent="0.2">
      <c r="A48" t="str">
        <f>IF(LEN(Library!B56)=0,"",Library!B56)</f>
        <v/>
      </c>
      <c r="B48" t="str">
        <f>IF(LEN(Library!C56)=0,"",Library!C56)</f>
        <v/>
      </c>
      <c r="C48" t="str">
        <f>IF(OR(ISBLANK(Library!E56),ISBLANK(Library!B56)),"",CONCATENATE("barcode",TEXT(Library!E56,"00")))</f>
        <v/>
      </c>
      <c r="D48" t="str">
        <f>IF(LEN(Library!D56)=0,"",Library!D56)</f>
        <v/>
      </c>
    </row>
    <row r="49" spans="1:4" x14ac:dyDescent="0.2">
      <c r="A49" t="str">
        <f>IF(LEN(Library!B57)=0,"",Library!B57)</f>
        <v/>
      </c>
      <c r="B49" t="str">
        <f>IF(LEN(Library!C57)=0,"",Library!C57)</f>
        <v/>
      </c>
      <c r="C49" t="str">
        <f>IF(OR(ISBLANK(Library!E57),ISBLANK(Library!B57)),"",CONCATENATE("barcode",TEXT(Library!E57,"00")))</f>
        <v/>
      </c>
      <c r="D49" t="str">
        <f>IF(LEN(Library!D57)=0,"",Library!D57)</f>
        <v/>
      </c>
    </row>
    <row r="50" spans="1:4" x14ac:dyDescent="0.2">
      <c r="A50" t="str">
        <f>IF(LEN(Library!B58)=0,"",Library!B58)</f>
        <v/>
      </c>
      <c r="B50" t="str">
        <f>IF(LEN(Library!C58)=0,"",Library!C58)</f>
        <v/>
      </c>
      <c r="C50" t="str">
        <f>IF(OR(ISBLANK(Library!E58),ISBLANK(Library!B58)),"",CONCATENATE("barcode",TEXT(Library!E58,"00")))</f>
        <v/>
      </c>
      <c r="D50" t="str">
        <f>IF(LEN(Library!D58)=0,"",Library!D58)</f>
        <v/>
      </c>
    </row>
    <row r="51" spans="1:4" x14ac:dyDescent="0.2">
      <c r="A51" t="str">
        <f>IF(LEN(Library!B59)=0,"",Library!B59)</f>
        <v/>
      </c>
      <c r="B51" t="str">
        <f>IF(LEN(Library!C59)=0,"",Library!C59)</f>
        <v/>
      </c>
      <c r="C51" t="str">
        <f>IF(OR(ISBLANK(Library!E59),ISBLANK(Library!B59)),"",CONCATENATE("barcode",TEXT(Library!E59,"00")))</f>
        <v/>
      </c>
      <c r="D51" t="str">
        <f>IF(LEN(Library!D59)=0,"",Library!D59)</f>
        <v/>
      </c>
    </row>
    <row r="52" spans="1:4" x14ac:dyDescent="0.2">
      <c r="A52" t="str">
        <f>IF(LEN(Library!B60)=0,"",Library!B60)</f>
        <v/>
      </c>
      <c r="B52" t="str">
        <f>IF(LEN(Library!C60)=0,"",Library!C60)</f>
        <v/>
      </c>
      <c r="C52" t="str">
        <f>IF(OR(ISBLANK(Library!E60),ISBLANK(Library!B60)),"",CONCATENATE("barcode",TEXT(Library!E60,"00")))</f>
        <v/>
      </c>
      <c r="D52" t="str">
        <f>IF(LEN(Library!D60)=0,"",Library!D60)</f>
        <v/>
      </c>
    </row>
    <row r="53" spans="1:4" x14ac:dyDescent="0.2">
      <c r="A53" t="str">
        <f>IF(LEN(Library!B61)=0,"",Library!B61)</f>
        <v/>
      </c>
      <c r="B53" t="str">
        <f>IF(LEN(Library!C61)=0,"",Library!C61)</f>
        <v/>
      </c>
      <c r="C53" t="str">
        <f>IF(OR(ISBLANK(Library!E61),ISBLANK(Library!B61)),"",CONCATENATE("barcode",TEXT(Library!E61,"00")))</f>
        <v/>
      </c>
      <c r="D53" t="str">
        <f>IF(LEN(Library!D61)=0,"",Library!D61)</f>
        <v/>
      </c>
    </row>
    <row r="54" spans="1:4" x14ac:dyDescent="0.2">
      <c r="A54" t="str">
        <f>IF(LEN(Library!B62)=0,"",Library!B62)</f>
        <v/>
      </c>
      <c r="B54" t="str">
        <f>IF(LEN(Library!C62)=0,"",Library!C62)</f>
        <v/>
      </c>
      <c r="C54" t="str">
        <f>IF(OR(ISBLANK(Library!E62),ISBLANK(Library!B62)),"",CONCATENATE("barcode",TEXT(Library!E62,"00")))</f>
        <v/>
      </c>
      <c r="D54" t="str">
        <f>IF(LEN(Library!D62)=0,"",Library!D62)</f>
        <v/>
      </c>
    </row>
    <row r="55" spans="1:4" x14ac:dyDescent="0.2">
      <c r="A55" t="str">
        <f>IF(LEN(Library!B63)=0,"",Library!B63)</f>
        <v/>
      </c>
      <c r="B55" t="str">
        <f>IF(LEN(Library!C63)=0,"",Library!C63)</f>
        <v/>
      </c>
      <c r="C55" t="str">
        <f>IF(OR(ISBLANK(Library!E63),ISBLANK(Library!B63)),"",CONCATENATE("barcode",TEXT(Library!E63,"00")))</f>
        <v/>
      </c>
      <c r="D55" t="str">
        <f>IF(LEN(Library!D63)=0,"",Library!D63)</f>
        <v/>
      </c>
    </row>
    <row r="56" spans="1:4" x14ac:dyDescent="0.2">
      <c r="A56" t="str">
        <f>IF(LEN(Library!B64)=0,"",Library!B64)</f>
        <v/>
      </c>
      <c r="B56" t="str">
        <f>IF(LEN(Library!C64)=0,"",Library!C64)</f>
        <v/>
      </c>
      <c r="C56" t="str">
        <f>IF(OR(ISBLANK(Library!E64),ISBLANK(Library!B64)),"",CONCATENATE("barcode",TEXT(Library!E64,"00")))</f>
        <v/>
      </c>
      <c r="D56" t="str">
        <f>IF(LEN(Library!D64)=0,"",Library!D64)</f>
        <v/>
      </c>
    </row>
    <row r="57" spans="1:4" x14ac:dyDescent="0.2">
      <c r="A57" t="str">
        <f>IF(LEN(Library!B65)=0,"",Library!B65)</f>
        <v/>
      </c>
      <c r="B57" t="str">
        <f>IF(LEN(Library!C65)=0,"",Library!C65)</f>
        <v/>
      </c>
      <c r="C57" t="str">
        <f>IF(OR(ISBLANK(Library!E65),ISBLANK(Library!B65)),"",CONCATENATE("barcode",TEXT(Library!E65,"00")))</f>
        <v/>
      </c>
      <c r="D57" t="str">
        <f>IF(LEN(Library!D65)=0,"",Library!D65)</f>
        <v/>
      </c>
    </row>
    <row r="58" spans="1:4" x14ac:dyDescent="0.2">
      <c r="A58" t="str">
        <f>IF(LEN(Library!B66)=0,"",Library!B66)</f>
        <v/>
      </c>
      <c r="B58" t="str">
        <f>IF(LEN(Library!C66)=0,"",Library!C66)</f>
        <v/>
      </c>
      <c r="C58" t="str">
        <f>IF(OR(ISBLANK(Library!E66),ISBLANK(Library!B66)),"",CONCATENATE("barcode",TEXT(Library!E66,"00")))</f>
        <v/>
      </c>
      <c r="D58" t="str">
        <f>IF(LEN(Library!D66)=0,"",Library!D66)</f>
        <v/>
      </c>
    </row>
    <row r="59" spans="1:4" x14ac:dyDescent="0.2">
      <c r="A59" t="str">
        <f>IF(LEN(Library!B67)=0,"",Library!B67)</f>
        <v/>
      </c>
      <c r="B59" t="str">
        <f>IF(LEN(Library!C67)=0,"",Library!C67)</f>
        <v/>
      </c>
      <c r="C59" t="str">
        <f>IF(OR(ISBLANK(Library!E67),ISBLANK(Library!B67)),"",CONCATENATE("barcode",TEXT(Library!E67,"00")))</f>
        <v/>
      </c>
      <c r="D59" t="str">
        <f>IF(LEN(Library!D67)=0,"",Library!D67)</f>
        <v/>
      </c>
    </row>
    <row r="60" spans="1:4" x14ac:dyDescent="0.2">
      <c r="A60" t="str">
        <f>IF(LEN(Library!B68)=0,"",Library!B68)</f>
        <v/>
      </c>
      <c r="B60" t="str">
        <f>IF(LEN(Library!C68)=0,"",Library!C68)</f>
        <v/>
      </c>
      <c r="C60" t="str">
        <f>IF(OR(ISBLANK(Library!E68),ISBLANK(Library!B68)),"",CONCATENATE("barcode",TEXT(Library!E68,"00")))</f>
        <v/>
      </c>
      <c r="D60" t="str">
        <f>IF(LEN(Library!D68)=0,"",Library!D68)</f>
        <v/>
      </c>
    </row>
    <row r="61" spans="1:4" x14ac:dyDescent="0.2">
      <c r="A61" t="str">
        <f>IF(LEN(Library!B69)=0,"",Library!B69)</f>
        <v/>
      </c>
      <c r="B61" t="str">
        <f>IF(LEN(Library!C69)=0,"",Library!C69)</f>
        <v/>
      </c>
      <c r="C61" t="str">
        <f>IF(OR(ISBLANK(Library!E69),ISBLANK(Library!B69)),"",CONCATENATE("barcode",TEXT(Library!E69,"00")))</f>
        <v/>
      </c>
      <c r="D61" t="str">
        <f>IF(LEN(Library!D69)=0,"",Library!D69)</f>
        <v/>
      </c>
    </row>
    <row r="62" spans="1:4" x14ac:dyDescent="0.2">
      <c r="A62" t="str">
        <f>IF(LEN(Library!B70)=0,"",Library!B70)</f>
        <v/>
      </c>
      <c r="B62" t="str">
        <f>IF(LEN(Library!C70)=0,"",Library!C70)</f>
        <v/>
      </c>
      <c r="C62" t="str">
        <f>IF(OR(ISBLANK(Library!E70),ISBLANK(Library!B70)),"",CONCATENATE("barcode",TEXT(Library!E70,"00")))</f>
        <v/>
      </c>
      <c r="D62" t="str">
        <f>IF(LEN(Library!D70)=0,"",Library!D70)</f>
        <v/>
      </c>
    </row>
    <row r="63" spans="1:4" x14ac:dyDescent="0.2">
      <c r="A63" t="str">
        <f>IF(LEN(Library!B71)=0,"",Library!B71)</f>
        <v/>
      </c>
      <c r="B63" t="str">
        <f>IF(LEN(Library!C71)=0,"",Library!C71)</f>
        <v/>
      </c>
      <c r="C63" t="str">
        <f>IF(OR(ISBLANK(Library!E71),ISBLANK(Library!B71)),"",CONCATENATE("barcode",TEXT(Library!E71,"00")))</f>
        <v/>
      </c>
      <c r="D63" t="str">
        <f>IF(LEN(Library!D71)=0,"",Library!D71)</f>
        <v/>
      </c>
    </row>
    <row r="64" spans="1:4" x14ac:dyDescent="0.2">
      <c r="A64" t="str">
        <f>IF(LEN(Library!B72)=0,"",Library!B72)</f>
        <v/>
      </c>
      <c r="B64" t="str">
        <f>IF(LEN(Library!C72)=0,"",Library!C72)</f>
        <v/>
      </c>
      <c r="C64" t="str">
        <f>IF(OR(ISBLANK(Library!E72),ISBLANK(Library!B72)),"",CONCATENATE("barcode",TEXT(Library!E72,"00")))</f>
        <v/>
      </c>
      <c r="D64" t="str">
        <f>IF(LEN(Library!D72)=0,"",Library!D72)</f>
        <v/>
      </c>
    </row>
    <row r="65" spans="1:4" x14ac:dyDescent="0.2">
      <c r="A65" t="str">
        <f>IF(LEN(Library!B73)=0,"",Library!B73)</f>
        <v/>
      </c>
      <c r="B65" t="str">
        <f>IF(LEN(Library!C73)=0,"",Library!C73)</f>
        <v/>
      </c>
      <c r="C65" t="str">
        <f>IF(OR(ISBLANK(Library!E73),ISBLANK(Library!B73)),"",CONCATENATE("barcode",TEXT(Library!E73,"00")))</f>
        <v/>
      </c>
      <c r="D65" t="str">
        <f>IF(LEN(Library!D73)=0,"",Library!D73)</f>
        <v/>
      </c>
    </row>
    <row r="66" spans="1:4" x14ac:dyDescent="0.2">
      <c r="A66" t="str">
        <f>IF(LEN(Library!B74)=0,"",Library!B74)</f>
        <v/>
      </c>
      <c r="B66" t="str">
        <f>IF(LEN(Library!C74)=0,"",Library!C74)</f>
        <v/>
      </c>
      <c r="C66" t="str">
        <f>IF(OR(ISBLANK(Library!E74),ISBLANK(Library!B74)),"",CONCATENATE("barcode",TEXT(Library!E74,"00")))</f>
        <v/>
      </c>
      <c r="D66" t="str">
        <f>IF(LEN(Library!D74)=0,"",Library!D74)</f>
        <v/>
      </c>
    </row>
    <row r="67" spans="1:4" x14ac:dyDescent="0.2">
      <c r="A67" t="str">
        <f>IF(LEN(Library!B75)=0,"",Library!B75)</f>
        <v/>
      </c>
      <c r="B67" t="str">
        <f>IF(LEN(Library!C75)=0,"",Library!C75)</f>
        <v/>
      </c>
      <c r="C67" t="str">
        <f>IF(OR(ISBLANK(Library!E75),ISBLANK(Library!B75)),"",CONCATENATE("barcode",TEXT(Library!E75,"00")))</f>
        <v/>
      </c>
      <c r="D67" t="str">
        <f>IF(LEN(Library!D75)=0,"",Library!D75)</f>
        <v/>
      </c>
    </row>
    <row r="68" spans="1:4" x14ac:dyDescent="0.2">
      <c r="A68" t="str">
        <f>IF(LEN(Library!B76)=0,"",Library!B76)</f>
        <v/>
      </c>
      <c r="B68" t="str">
        <f>IF(LEN(Library!C76)=0,"",Library!C76)</f>
        <v/>
      </c>
      <c r="C68" t="str">
        <f>IF(OR(ISBLANK(Library!E76),ISBLANK(Library!B76)),"",CONCATENATE("barcode",TEXT(Library!E76,"00")))</f>
        <v/>
      </c>
      <c r="D68" t="str">
        <f>IF(LEN(Library!D76)=0,"",Library!D76)</f>
        <v/>
      </c>
    </row>
    <row r="69" spans="1:4" x14ac:dyDescent="0.2">
      <c r="A69" t="str">
        <f>IF(LEN(Library!B77)=0,"",Library!B77)</f>
        <v/>
      </c>
      <c r="B69" t="str">
        <f>IF(LEN(Library!C77)=0,"",Library!C77)</f>
        <v/>
      </c>
      <c r="C69" t="str">
        <f>IF(OR(ISBLANK(Library!E77),ISBLANK(Library!B77)),"",CONCATENATE("barcode",TEXT(Library!E77,"00")))</f>
        <v/>
      </c>
      <c r="D69" t="str">
        <f>IF(LEN(Library!D77)=0,"",Library!D77)</f>
        <v/>
      </c>
    </row>
    <row r="70" spans="1:4" x14ac:dyDescent="0.2">
      <c r="A70" t="str">
        <f>IF(LEN(Library!B78)=0,"",Library!B78)</f>
        <v/>
      </c>
      <c r="B70" t="str">
        <f>IF(LEN(Library!C78)=0,"",Library!C78)</f>
        <v/>
      </c>
      <c r="C70" t="str">
        <f>IF(OR(ISBLANK(Library!E78),ISBLANK(Library!B78)),"",CONCATENATE("barcode",TEXT(Library!E78,"00")))</f>
        <v/>
      </c>
      <c r="D70" t="str">
        <f>IF(LEN(Library!D78)=0,"",Library!D78)</f>
        <v/>
      </c>
    </row>
    <row r="71" spans="1:4" x14ac:dyDescent="0.2">
      <c r="A71" t="str">
        <f>IF(LEN(Library!B79)=0,"",Library!B79)</f>
        <v/>
      </c>
      <c r="B71" t="str">
        <f>IF(LEN(Library!C79)=0,"",Library!C79)</f>
        <v/>
      </c>
      <c r="C71" t="str">
        <f>IF(OR(ISBLANK(Library!E79),ISBLANK(Library!B79)),"",CONCATENATE("barcode",TEXT(Library!E79,"00")))</f>
        <v/>
      </c>
      <c r="D71" t="str">
        <f>IF(LEN(Library!D79)=0,"",Library!D79)</f>
        <v/>
      </c>
    </row>
    <row r="72" spans="1:4" x14ac:dyDescent="0.2">
      <c r="A72" t="str">
        <f>IF(LEN(Library!B80)=0,"",Library!B80)</f>
        <v/>
      </c>
      <c r="B72" t="str">
        <f>IF(LEN(Library!C80)=0,"",Library!C80)</f>
        <v/>
      </c>
      <c r="C72" t="str">
        <f>IF(OR(ISBLANK(Library!E80),ISBLANK(Library!B80)),"",CONCATENATE("barcode",TEXT(Library!E80,"00")))</f>
        <v/>
      </c>
      <c r="D72" t="str">
        <f>IF(LEN(Library!D80)=0,"",Library!D80)</f>
        <v/>
      </c>
    </row>
    <row r="73" spans="1:4" x14ac:dyDescent="0.2">
      <c r="A73" t="str">
        <f>IF(LEN(Library!B81)=0,"",Library!B81)</f>
        <v/>
      </c>
      <c r="B73" t="str">
        <f>IF(LEN(Library!C81)=0,"",Library!C81)</f>
        <v/>
      </c>
      <c r="C73" t="str">
        <f>IF(OR(ISBLANK(Library!E81),ISBLANK(Library!B81)),"",CONCATENATE("barcode",TEXT(Library!E81,"00")))</f>
        <v/>
      </c>
      <c r="D73" t="str">
        <f>IF(LEN(Library!D81)=0,"",Library!D81)</f>
        <v/>
      </c>
    </row>
    <row r="74" spans="1:4" x14ac:dyDescent="0.2">
      <c r="A74" t="str">
        <f>IF(LEN(Library!B82)=0,"",Library!B82)</f>
        <v/>
      </c>
      <c r="B74" t="str">
        <f>IF(LEN(Library!C82)=0,"",Library!C82)</f>
        <v/>
      </c>
      <c r="C74" t="str">
        <f>IF(OR(ISBLANK(Library!E82),ISBLANK(Library!B82)),"",CONCATENATE("barcode",TEXT(Library!E82,"00")))</f>
        <v/>
      </c>
      <c r="D74" t="str">
        <f>IF(LEN(Library!D82)=0,"",Library!D82)</f>
        <v/>
      </c>
    </row>
    <row r="75" spans="1:4" x14ac:dyDescent="0.2">
      <c r="A75" t="str">
        <f>IF(LEN(Library!B83)=0,"",Library!B83)</f>
        <v/>
      </c>
      <c r="B75" t="str">
        <f>IF(LEN(Library!C83)=0,"",Library!C83)</f>
        <v/>
      </c>
      <c r="C75" t="str">
        <f>IF(OR(ISBLANK(Library!E83),ISBLANK(Library!B83)),"",CONCATENATE("barcode",TEXT(Library!E83,"00")))</f>
        <v/>
      </c>
      <c r="D75" t="str">
        <f>IF(LEN(Library!D83)=0,"",Library!D83)</f>
        <v/>
      </c>
    </row>
    <row r="76" spans="1:4" x14ac:dyDescent="0.2">
      <c r="A76" t="str">
        <f>IF(LEN(Library!B84)=0,"",Library!B84)</f>
        <v/>
      </c>
      <c r="B76" t="str">
        <f>IF(LEN(Library!C84)=0,"",Library!C84)</f>
        <v/>
      </c>
      <c r="C76" t="str">
        <f>IF(OR(ISBLANK(Library!E84),ISBLANK(Library!B84)),"",CONCATENATE("barcode",TEXT(Library!E84,"00")))</f>
        <v/>
      </c>
      <c r="D76" t="str">
        <f>IF(LEN(Library!D84)=0,"",Library!D84)</f>
        <v/>
      </c>
    </row>
    <row r="77" spans="1:4" x14ac:dyDescent="0.2">
      <c r="A77" t="str">
        <f>IF(LEN(Library!B85)=0,"",Library!B85)</f>
        <v/>
      </c>
      <c r="B77" t="str">
        <f>IF(LEN(Library!C85)=0,"",Library!C85)</f>
        <v/>
      </c>
      <c r="C77" t="str">
        <f>IF(OR(ISBLANK(Library!E85),ISBLANK(Library!B85)),"",CONCATENATE("barcode",TEXT(Library!E85,"00")))</f>
        <v/>
      </c>
      <c r="D77" t="str">
        <f>IF(LEN(Library!D85)=0,"",Library!D85)</f>
        <v/>
      </c>
    </row>
    <row r="78" spans="1:4" x14ac:dyDescent="0.2">
      <c r="A78" t="str">
        <f>IF(LEN(Library!B86)=0,"",Library!B86)</f>
        <v/>
      </c>
      <c r="B78" t="str">
        <f>IF(LEN(Library!C86)=0,"",Library!C86)</f>
        <v/>
      </c>
      <c r="C78" t="str">
        <f>IF(OR(ISBLANK(Library!E86),ISBLANK(Library!B86)),"",CONCATENATE("barcode",TEXT(Library!E86,"00")))</f>
        <v/>
      </c>
      <c r="D78" t="str">
        <f>IF(LEN(Library!D86)=0,"",Library!D86)</f>
        <v/>
      </c>
    </row>
    <row r="79" spans="1:4" x14ac:dyDescent="0.2">
      <c r="A79" t="str">
        <f>IF(LEN(Library!B87)=0,"",Library!B87)</f>
        <v/>
      </c>
      <c r="B79" t="str">
        <f>IF(LEN(Library!C87)=0,"",Library!C87)</f>
        <v/>
      </c>
      <c r="C79" t="str">
        <f>IF(OR(ISBLANK(Library!E87),ISBLANK(Library!B87)),"",CONCATENATE("barcode",TEXT(Library!E87,"00")))</f>
        <v/>
      </c>
      <c r="D79" t="str">
        <f>IF(LEN(Library!D87)=0,"",Library!D87)</f>
        <v/>
      </c>
    </row>
    <row r="80" spans="1:4" x14ac:dyDescent="0.2">
      <c r="A80" t="str">
        <f>IF(LEN(Library!B88)=0,"",Library!B88)</f>
        <v/>
      </c>
      <c r="B80" t="str">
        <f>IF(LEN(Library!C88)=0,"",Library!C88)</f>
        <v/>
      </c>
      <c r="C80" t="str">
        <f>IF(OR(ISBLANK(Library!E88),ISBLANK(Library!B88)),"",CONCATENATE("barcode",TEXT(Library!E88,"00")))</f>
        <v/>
      </c>
      <c r="D80" t="str">
        <f>IF(LEN(Library!D88)=0,"",Library!D88)</f>
        <v/>
      </c>
    </row>
    <row r="81" spans="1:4" x14ac:dyDescent="0.2">
      <c r="A81" t="str">
        <f>IF(LEN(Library!B89)=0,"",Library!B89)</f>
        <v/>
      </c>
      <c r="B81" t="str">
        <f>IF(LEN(Library!C89)=0,"",Library!C89)</f>
        <v/>
      </c>
      <c r="C81" t="str">
        <f>IF(OR(ISBLANK(Library!E89),ISBLANK(Library!B89)),"",CONCATENATE("barcode",TEXT(Library!E89,"00")))</f>
        <v/>
      </c>
      <c r="D81" t="str">
        <f>IF(LEN(Library!D89)=0,"",Library!D89)</f>
        <v/>
      </c>
    </row>
    <row r="82" spans="1:4" x14ac:dyDescent="0.2">
      <c r="A82" t="str">
        <f>IF(LEN(Library!B90)=0,"",Library!B90)</f>
        <v/>
      </c>
      <c r="B82" t="str">
        <f>IF(LEN(Library!C90)=0,"",Library!C90)</f>
        <v/>
      </c>
      <c r="C82" t="str">
        <f>IF(OR(ISBLANK(Library!E90),ISBLANK(Library!B90)),"",CONCATENATE("barcode",TEXT(Library!E90,"00")))</f>
        <v/>
      </c>
      <c r="D82" t="str">
        <f>IF(LEN(Library!D90)=0,"",Library!D90)</f>
        <v/>
      </c>
    </row>
    <row r="83" spans="1:4" x14ac:dyDescent="0.2">
      <c r="A83" t="str">
        <f>IF(LEN(Library!B91)=0,"",Library!B91)</f>
        <v/>
      </c>
      <c r="B83" t="str">
        <f>IF(LEN(Library!C91)=0,"",Library!C91)</f>
        <v/>
      </c>
      <c r="C83" t="str">
        <f>IF(OR(ISBLANK(Library!E91),ISBLANK(Library!B91)),"",CONCATENATE("barcode",TEXT(Library!E91,"00")))</f>
        <v/>
      </c>
      <c r="D83" t="str">
        <f>IF(LEN(Library!D91)=0,"",Library!D91)</f>
        <v/>
      </c>
    </row>
    <row r="84" spans="1:4" x14ac:dyDescent="0.2">
      <c r="A84" t="str">
        <f>IF(LEN(Library!B92)=0,"",Library!B92)</f>
        <v/>
      </c>
      <c r="B84" t="str">
        <f>IF(LEN(Library!C92)=0,"",Library!C92)</f>
        <v/>
      </c>
      <c r="C84" t="str">
        <f>IF(OR(ISBLANK(Library!E92),ISBLANK(Library!B92)),"",CONCATENATE("barcode",TEXT(Library!E92,"00")))</f>
        <v/>
      </c>
      <c r="D84" t="str">
        <f>IF(LEN(Library!D92)=0,"",Library!D92)</f>
        <v/>
      </c>
    </row>
    <row r="85" spans="1:4" x14ac:dyDescent="0.2">
      <c r="A85" t="str">
        <f>IF(LEN(Library!B93)=0,"",Library!B93)</f>
        <v/>
      </c>
      <c r="B85" t="str">
        <f>IF(LEN(Library!C93)=0,"",Library!C93)</f>
        <v/>
      </c>
      <c r="C85" t="str">
        <f>IF(OR(ISBLANK(Library!E93),ISBLANK(Library!B93)),"",CONCATENATE("barcode",TEXT(Library!E93,"00")))</f>
        <v/>
      </c>
      <c r="D85" t="str">
        <f>IF(LEN(Library!D93)=0,"",Library!D93)</f>
        <v/>
      </c>
    </row>
    <row r="86" spans="1:4" x14ac:dyDescent="0.2">
      <c r="A86" t="str">
        <f>IF(LEN(Library!B94)=0,"",Library!B94)</f>
        <v/>
      </c>
      <c r="B86" t="str">
        <f>IF(LEN(Library!C94)=0,"",Library!C94)</f>
        <v/>
      </c>
      <c r="C86" t="str">
        <f>IF(OR(ISBLANK(Library!E94),ISBLANK(Library!B94)),"",CONCATENATE("barcode",TEXT(Library!E94,"00")))</f>
        <v/>
      </c>
      <c r="D86" t="str">
        <f>IF(LEN(Library!D94)=0,"",Library!D94)</f>
        <v/>
      </c>
    </row>
    <row r="87" spans="1:4" x14ac:dyDescent="0.2">
      <c r="A87" t="str">
        <f>IF(LEN(Library!B95)=0,"",Library!B95)</f>
        <v/>
      </c>
      <c r="B87" t="str">
        <f>IF(LEN(Library!C95)=0,"",Library!C95)</f>
        <v/>
      </c>
      <c r="C87" t="str">
        <f>IF(OR(ISBLANK(Library!E95),ISBLANK(Library!B95)),"",CONCATENATE("barcode",TEXT(Library!E95,"00")))</f>
        <v/>
      </c>
      <c r="D87" t="str">
        <f>IF(LEN(Library!D95)=0,"",Library!D95)</f>
        <v/>
      </c>
    </row>
    <row r="88" spans="1:4" x14ac:dyDescent="0.2">
      <c r="A88" t="str">
        <f>IF(LEN(Library!B96)=0,"",Library!B96)</f>
        <v/>
      </c>
      <c r="B88" t="str">
        <f>IF(LEN(Library!C96)=0,"",Library!C96)</f>
        <v/>
      </c>
      <c r="C88" t="str">
        <f>IF(OR(ISBLANK(Library!E96),ISBLANK(Library!B96)),"",CONCATENATE("barcode",TEXT(Library!E96,"00")))</f>
        <v/>
      </c>
      <c r="D88" t="str">
        <f>IF(LEN(Library!D96)=0,"",Library!D96)</f>
        <v/>
      </c>
    </row>
    <row r="89" spans="1:4" x14ac:dyDescent="0.2">
      <c r="A89" t="str">
        <f>IF(LEN(Library!B97)=0,"",Library!B97)</f>
        <v/>
      </c>
      <c r="B89" t="str">
        <f>IF(LEN(Library!C97)=0,"",Library!C97)</f>
        <v/>
      </c>
      <c r="C89" t="str">
        <f>IF(OR(ISBLANK(Library!E97),ISBLANK(Library!B97)),"",CONCATENATE("barcode",TEXT(Library!E97,"00")))</f>
        <v/>
      </c>
      <c r="D89" t="str">
        <f>IF(LEN(Library!D97)=0,"",Library!D97)</f>
        <v/>
      </c>
    </row>
    <row r="90" spans="1:4" x14ac:dyDescent="0.2">
      <c r="A90" t="str">
        <f>IF(LEN(Library!B98)=0,"",Library!B98)</f>
        <v/>
      </c>
      <c r="B90" t="str">
        <f>IF(LEN(Library!C98)=0,"",Library!C98)</f>
        <v/>
      </c>
      <c r="C90" t="str">
        <f>IF(OR(ISBLANK(Library!E98),ISBLANK(Library!B98)),"",CONCATENATE("barcode",TEXT(Library!E98,"00")))</f>
        <v/>
      </c>
      <c r="D90" t="str">
        <f>IF(LEN(Library!D98)=0,"",Library!D98)</f>
        <v/>
      </c>
    </row>
    <row r="91" spans="1:4" x14ac:dyDescent="0.2">
      <c r="A91" t="str">
        <f>IF(LEN(Library!B99)=0,"",Library!B99)</f>
        <v/>
      </c>
      <c r="B91" t="str">
        <f>IF(LEN(Library!C99)=0,"",Library!C99)</f>
        <v/>
      </c>
      <c r="C91" t="str">
        <f>IF(OR(ISBLANK(Library!E99),ISBLANK(Library!B99)),"",CONCATENATE("barcode",TEXT(Library!E99,"00")))</f>
        <v/>
      </c>
      <c r="D91" t="str">
        <f>IF(LEN(Library!D99)=0,"",Library!D99)</f>
        <v/>
      </c>
    </row>
    <row r="92" spans="1:4" x14ac:dyDescent="0.2">
      <c r="A92" t="str">
        <f>IF(LEN(Library!B100)=0,"",Library!B100)</f>
        <v/>
      </c>
      <c r="B92" t="str">
        <f>IF(LEN(Library!C100)=0,"",Library!C100)</f>
        <v/>
      </c>
      <c r="C92" t="str">
        <f>IF(OR(ISBLANK(Library!E100),ISBLANK(Library!B100)),"",CONCATENATE("barcode",TEXT(Library!E100,"00")))</f>
        <v/>
      </c>
      <c r="D92" t="str">
        <f>IF(LEN(Library!D100)=0,"",Library!D100)</f>
        <v/>
      </c>
    </row>
    <row r="93" spans="1:4" x14ac:dyDescent="0.2">
      <c r="A93" t="str">
        <f>IF(LEN(Library!B101)=0,"",Library!B101)</f>
        <v/>
      </c>
      <c r="B93" t="str">
        <f>IF(LEN(Library!C101)=0,"",Library!C101)</f>
        <v/>
      </c>
      <c r="C93" t="str">
        <f>IF(OR(ISBLANK(Library!E101),ISBLANK(Library!B101)),"",CONCATENATE("barcode",TEXT(Library!E101,"00")))</f>
        <v/>
      </c>
      <c r="D93" t="str">
        <f>IF(LEN(Library!D101)=0,"",Library!D101)</f>
        <v/>
      </c>
    </row>
    <row r="94" spans="1:4" x14ac:dyDescent="0.2">
      <c r="A94" t="str">
        <f>IF(LEN(Library!B102)=0,"",Library!B102)</f>
        <v/>
      </c>
      <c r="B94" t="str">
        <f>IF(LEN(Library!C102)=0,"",Library!C102)</f>
        <v/>
      </c>
      <c r="C94" t="str">
        <f>IF(OR(ISBLANK(Library!E102),ISBLANK(Library!B102)),"",CONCATENATE("barcode",TEXT(Library!E102,"00")))</f>
        <v/>
      </c>
      <c r="D94" t="str">
        <f>IF(LEN(Library!D102)=0,"",Library!D102)</f>
        <v/>
      </c>
    </row>
    <row r="95" spans="1:4" x14ac:dyDescent="0.2">
      <c r="A95" t="str">
        <f>IF(LEN(Library!B103)=0,"",Library!B103)</f>
        <v/>
      </c>
      <c r="B95" t="str">
        <f>IF(LEN(Library!C103)=0,"",Library!C103)</f>
        <v/>
      </c>
      <c r="C95" t="str">
        <f>IF(OR(ISBLANK(Library!E103),ISBLANK(Library!B103)),"",CONCATENATE("barcode",TEXT(Library!E103,"00")))</f>
        <v/>
      </c>
      <c r="D95" t="str">
        <f>IF(LEN(Library!D103)=0,"",Library!D103)</f>
        <v/>
      </c>
    </row>
    <row r="96" spans="1:4" x14ac:dyDescent="0.2">
      <c r="A96" t="str">
        <f>IF(LEN(Library!B104)=0,"",Library!B104)</f>
        <v/>
      </c>
      <c r="B96" t="str">
        <f>IF(LEN(Library!C104)=0,"",Library!C104)</f>
        <v/>
      </c>
      <c r="C96" t="str">
        <f>IF(OR(ISBLANK(Library!E104),ISBLANK(Library!B104)),"",CONCATENATE("barcode",TEXT(Library!E104,"00")))</f>
        <v/>
      </c>
      <c r="D96" t="str">
        <f>IF(LEN(Library!D104)=0,"",Library!D104)</f>
        <v/>
      </c>
    </row>
    <row r="97" spans="1:4" x14ac:dyDescent="0.2">
      <c r="A97" t="str">
        <f>IF(LEN(Library!B105)=0,"",Library!B105)</f>
        <v/>
      </c>
      <c r="B97" t="str">
        <f>IF(LEN(Library!C105)=0,"",Library!C105)</f>
        <v/>
      </c>
      <c r="C97" t="str">
        <f>IF(OR(ISBLANK(Library!E105),ISBLANK(Library!B105)),"",CONCATENATE("barcode",TEXT(Library!E105,"00")))</f>
        <v/>
      </c>
      <c r="D97" t="str">
        <f>IF(LEN(Library!D105)=0,"",Library!D105)</f>
        <v/>
      </c>
    </row>
  </sheetData>
  <sheetProtection algorithmName="SHA-512" hashValue="BpfvFrrqtm0e7cxfocp+zTlVzBFfRuOvKl+EL7COePiHLmFrI52KWVpK8pzpUPY55InciSWy/Tz3uw4ktCZaQw==" saltValue="yEn5Lf0eHnWThP25T0izmg==" spinCount="100000" sheet="1" selectLockedCells="1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B840-46A1-4DBD-A947-D1215FFA570B}">
  <sheetPr>
    <tabColor rgb="FFFF0000"/>
  </sheetPr>
  <dimension ref="A1:B7"/>
  <sheetViews>
    <sheetView workbookViewId="0">
      <selection activeCell="A5" sqref="A5:A7"/>
    </sheetView>
  </sheetViews>
  <sheetFormatPr baseColWidth="10" defaultColWidth="8.83203125" defaultRowHeight="16" x14ac:dyDescent="0.2"/>
  <cols>
    <col min="1" max="1" width="42.1640625" customWidth="1"/>
  </cols>
  <sheetData>
    <row r="1" spans="1:2" x14ac:dyDescent="0.2">
      <c r="A1" t="s">
        <v>114</v>
      </c>
      <c r="B1">
        <v>15</v>
      </c>
    </row>
    <row r="4" spans="1:2" x14ac:dyDescent="0.2">
      <c r="A4" s="22" t="s">
        <v>105</v>
      </c>
    </row>
    <row r="5" spans="1:2" x14ac:dyDescent="0.2">
      <c r="A5" t="s">
        <v>115</v>
      </c>
    </row>
    <row r="6" spans="1:2" x14ac:dyDescent="0.2">
      <c r="A6" t="s">
        <v>116</v>
      </c>
    </row>
    <row r="7" spans="1:2" x14ac:dyDescent="0.2">
      <c r="A7" t="s">
        <v>117</v>
      </c>
    </row>
  </sheetData>
  <sheetProtection algorithmName="SHA-512" hashValue="dUxG8sZFHxMw0NDzxsm+4RagZS4zB7XJW9ODqWY1r6qy6zd7Iuke/o94IqDpwwU1NdNkvme+sj732vKg/zGkSg==" saltValue="+pMpwnpw0cbJIb7UlDcFS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F958-2118-44FE-A2A7-C593F394324C}">
  <sheetPr>
    <tabColor rgb="FFFFC000"/>
  </sheetPr>
  <dimension ref="A1:A12"/>
  <sheetViews>
    <sheetView zoomScale="115" zoomScaleNormal="115" workbookViewId="0">
      <selection activeCell="A17" sqref="A17"/>
    </sheetView>
  </sheetViews>
  <sheetFormatPr baseColWidth="10" defaultColWidth="8.83203125" defaultRowHeight="16" x14ac:dyDescent="0.2"/>
  <cols>
    <col min="1" max="1" width="241.83203125" customWidth="1"/>
  </cols>
  <sheetData>
    <row r="1" spans="1:1" ht="21" x14ac:dyDescent="0.25">
      <c r="A1" s="25" t="s">
        <v>121</v>
      </c>
    </row>
    <row r="2" spans="1:1" ht="21" x14ac:dyDescent="0.25">
      <c r="A2" s="26" t="s">
        <v>130</v>
      </c>
    </row>
    <row r="3" spans="1:1" ht="21" x14ac:dyDescent="0.25">
      <c r="A3" s="26" t="s">
        <v>131</v>
      </c>
    </row>
    <row r="4" spans="1:1" ht="21" x14ac:dyDescent="0.25">
      <c r="A4" s="27"/>
    </row>
    <row r="5" spans="1:1" ht="21" x14ac:dyDescent="0.25">
      <c r="A5" s="28" t="s">
        <v>124</v>
      </c>
    </row>
    <row r="6" spans="1:1" ht="109.75" customHeight="1" x14ac:dyDescent="0.2">
      <c r="A6" s="24" t="s">
        <v>122</v>
      </c>
    </row>
    <row r="7" spans="1:1" ht="21" x14ac:dyDescent="0.25">
      <c r="A7" s="26" t="s">
        <v>123</v>
      </c>
    </row>
    <row r="8" spans="1:1" ht="41.5" customHeight="1" x14ac:dyDescent="0.2">
      <c r="A8" s="23" t="s">
        <v>127</v>
      </c>
    </row>
    <row r="9" spans="1:1" ht="147" customHeight="1" x14ac:dyDescent="0.2">
      <c r="A9" s="23" t="s">
        <v>126</v>
      </c>
    </row>
    <row r="10" spans="1:1" ht="168.5" customHeight="1" x14ac:dyDescent="0.2">
      <c r="A10" s="23" t="s">
        <v>125</v>
      </c>
    </row>
    <row r="11" spans="1:1" x14ac:dyDescent="0.2">
      <c r="A11" t="s">
        <v>128</v>
      </c>
    </row>
    <row r="12" spans="1:1" ht="21" x14ac:dyDescent="0.25">
      <c r="A12" s="26" t="s">
        <v>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Library</vt:lpstr>
      <vt:lpstr>Gel</vt:lpstr>
      <vt:lpstr>nomadic</vt:lpstr>
      <vt:lpstr>options</vt:lpstr>
      <vt:lpstr>Instructions</vt:lpstr>
      <vt:lpstr>Post_PCR_DNA_threshold_ngul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Bernd Bohmeier</cp:lastModifiedBy>
  <cp:revision>2</cp:revision>
  <cp:lastPrinted>2025-11-12T21:21:09Z</cp:lastPrinted>
  <dcterms:created xsi:type="dcterms:W3CDTF">2022-03-21T12:22:51Z</dcterms:created>
  <dcterms:modified xsi:type="dcterms:W3CDTF">2025-12-08T13:36:56Z</dcterms:modified>
  <dc:language>en-GB</dc:language>
</cp:coreProperties>
</file>